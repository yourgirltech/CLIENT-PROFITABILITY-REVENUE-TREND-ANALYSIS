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55cddba1f3c0e7/Documents/"/>
    </mc:Choice>
  </mc:AlternateContent>
  <xr:revisionPtr revIDLastSave="159" documentId="8_{1C057EAA-AC3C-492F-96E1-C06F4408E568}" xr6:coauthVersionLast="47" xr6:coauthVersionMax="47" xr10:uidLastSave="{0811BFA3-F9AD-4E6E-A722-E6A66C185FCA}"/>
  <bookViews>
    <workbookView minimized="1" xWindow="2380" yWindow="1620" windowWidth="9190" windowHeight="9480" firstSheet="4" activeTab="5" xr2:uid="{353AAE6D-AAB3-44D2-B72D-3CF5982CB97C}"/>
  </bookViews>
  <sheets>
    <sheet name="README" sheetId="1" r:id="rId1"/>
    <sheet name="01-RAW-DATA" sheetId="3" r:id="rId2"/>
    <sheet name="02-ANNUAL-FINANCIAL-PERFORMANCE" sheetId="4" r:id="rId3"/>
    <sheet name="03_Monthly_Performance_Analysis" sheetId="5" r:id="rId4"/>
    <sheet name="04_Revenue_Mix_Analysis" sheetId="6" r:id="rId5"/>
    <sheet name="05_Client_Profitability_Analysi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" i="7" l="1"/>
  <c r="F8" i="7" s="1"/>
  <c r="G8" i="7" s="1"/>
  <c r="E8" i="7"/>
  <c r="D9" i="7"/>
  <c r="E9" i="7"/>
  <c r="F9" i="7"/>
  <c r="G9" i="7" s="1"/>
  <c r="D10" i="7"/>
  <c r="F10" i="7" s="1"/>
  <c r="G10" i="7" s="1"/>
  <c r="E10" i="7"/>
  <c r="D11" i="7"/>
  <c r="E11" i="7"/>
  <c r="F11" i="7"/>
  <c r="G11" i="7" s="1"/>
  <c r="D12" i="7"/>
  <c r="F12" i="7" s="1"/>
  <c r="G12" i="7" s="1"/>
  <c r="E12" i="7"/>
  <c r="D13" i="7"/>
  <c r="E13" i="7"/>
  <c r="F13" i="7"/>
  <c r="G13" i="7" s="1"/>
  <c r="D14" i="7"/>
  <c r="F14" i="7" s="1"/>
  <c r="G14" i="7" s="1"/>
  <c r="E14" i="7"/>
  <c r="D15" i="7"/>
  <c r="E15" i="7"/>
  <c r="F15" i="7"/>
  <c r="G15" i="7" s="1"/>
  <c r="D16" i="7"/>
  <c r="F16" i="7" s="1"/>
  <c r="G16" i="7" s="1"/>
  <c r="E16" i="7"/>
  <c r="D17" i="7"/>
  <c r="E17" i="7"/>
  <c r="F17" i="7"/>
  <c r="G17" i="7" s="1"/>
  <c r="D18" i="7"/>
  <c r="F18" i="7" s="1"/>
  <c r="G18" i="7" s="1"/>
  <c r="E18" i="7"/>
  <c r="D19" i="7"/>
  <c r="E19" i="7"/>
  <c r="F19" i="7"/>
  <c r="G19" i="7" s="1"/>
  <c r="D20" i="7"/>
  <c r="F20" i="7" s="1"/>
  <c r="G20" i="7" s="1"/>
  <c r="E20" i="7"/>
  <c r="D21" i="7"/>
  <c r="E21" i="7"/>
  <c r="F21" i="7"/>
  <c r="G21" i="7" s="1"/>
  <c r="D22" i="7"/>
  <c r="F22" i="7" s="1"/>
  <c r="G22" i="7" s="1"/>
  <c r="E22" i="7"/>
  <c r="D23" i="7"/>
  <c r="E23" i="7"/>
  <c r="F23" i="7"/>
  <c r="G23" i="7" s="1"/>
  <c r="D30" i="7"/>
  <c r="F30" i="7" s="1"/>
  <c r="G30" i="7" s="1"/>
  <c r="E30" i="7"/>
  <c r="H30" i="7"/>
  <c r="I30" i="7"/>
  <c r="J30" i="7"/>
  <c r="K30" i="7" s="1"/>
  <c r="D31" i="7"/>
  <c r="F31" i="7" s="1"/>
  <c r="G31" i="7" s="1"/>
  <c r="E31" i="7"/>
  <c r="H31" i="7"/>
  <c r="I31" i="7"/>
  <c r="J31" i="7"/>
  <c r="K31" i="7" s="1"/>
  <c r="D32" i="7"/>
  <c r="F32" i="7" s="1"/>
  <c r="G32" i="7" s="1"/>
  <c r="E32" i="7"/>
  <c r="H32" i="7"/>
  <c r="I32" i="7"/>
  <c r="J32" i="7"/>
  <c r="K32" i="7" s="1"/>
  <c r="D33" i="7"/>
  <c r="F33" i="7" s="1"/>
  <c r="G33" i="7" s="1"/>
  <c r="E33" i="7"/>
  <c r="H33" i="7"/>
  <c r="I33" i="7"/>
  <c r="J33" i="7"/>
  <c r="K33" i="7" s="1"/>
  <c r="D34" i="7"/>
  <c r="F34" i="7" s="1"/>
  <c r="G34" i="7" s="1"/>
  <c r="E34" i="7"/>
  <c r="H34" i="7"/>
  <c r="I34" i="7"/>
  <c r="J34" i="7"/>
  <c r="K34" i="7" s="1"/>
  <c r="D35" i="7"/>
  <c r="F35" i="7" s="1"/>
  <c r="G35" i="7" s="1"/>
  <c r="E35" i="7"/>
  <c r="H35" i="7"/>
  <c r="I35" i="7"/>
  <c r="J35" i="7"/>
  <c r="K35" i="7" s="1"/>
  <c r="D36" i="7"/>
  <c r="F36" i="7" s="1"/>
  <c r="G36" i="7" s="1"/>
  <c r="E36" i="7"/>
  <c r="H36" i="7"/>
  <c r="I36" i="7"/>
  <c r="J36" i="7"/>
  <c r="K36" i="7" s="1"/>
  <c r="D37" i="7"/>
  <c r="F37" i="7" s="1"/>
  <c r="G37" i="7" s="1"/>
  <c r="E37" i="7"/>
  <c r="H37" i="7"/>
  <c r="I37" i="7"/>
  <c r="J37" i="7"/>
  <c r="K37" i="7" s="1"/>
  <c r="D38" i="7"/>
  <c r="F38" i="7" s="1"/>
  <c r="G38" i="7" s="1"/>
  <c r="E38" i="7"/>
  <c r="H38" i="7"/>
  <c r="I38" i="7"/>
  <c r="J38" i="7"/>
  <c r="K38" i="7" s="1"/>
  <c r="D39" i="7"/>
  <c r="F39" i="7" s="1"/>
  <c r="G39" i="7" s="1"/>
  <c r="E39" i="7"/>
  <c r="H39" i="7"/>
  <c r="I39" i="7"/>
  <c r="J39" i="7"/>
  <c r="K39" i="7" s="1"/>
  <c r="D40" i="7"/>
  <c r="F40" i="7" s="1"/>
  <c r="G40" i="7" s="1"/>
  <c r="E40" i="7"/>
  <c r="H40" i="7"/>
  <c r="I40" i="7"/>
  <c r="J40" i="7"/>
  <c r="K40" i="7" s="1"/>
  <c r="D41" i="7"/>
  <c r="F41" i="7" s="1"/>
  <c r="G41" i="7" s="1"/>
  <c r="E41" i="7"/>
  <c r="H41" i="7"/>
  <c r="I41" i="7"/>
  <c r="J41" i="7"/>
  <c r="K41" i="7" s="1"/>
  <c r="D11" i="6"/>
  <c r="E11" i="6"/>
  <c r="F11" i="6"/>
  <c r="G11" i="6"/>
  <c r="H11" i="6"/>
  <c r="I11" i="6"/>
  <c r="J11" i="6"/>
  <c r="D12" i="6"/>
  <c r="G12" i="6" s="1"/>
  <c r="E12" i="6"/>
  <c r="F12" i="6"/>
  <c r="D13" i="6"/>
  <c r="G13" i="6" s="1"/>
  <c r="J13" i="6" s="1"/>
  <c r="E13" i="6"/>
  <c r="I13" i="6" s="1"/>
  <c r="F13" i="6"/>
  <c r="D14" i="6"/>
  <c r="G14" i="6" s="1"/>
  <c r="E14" i="6"/>
  <c r="I14" i="6" s="1"/>
  <c r="F14" i="6"/>
  <c r="J14" i="6" s="1"/>
  <c r="D15" i="6"/>
  <c r="H15" i="6" s="1"/>
  <c r="E15" i="6"/>
  <c r="I15" i="6" s="1"/>
  <c r="F15" i="6"/>
  <c r="J15" i="6" s="1"/>
  <c r="G15" i="6"/>
  <c r="D16" i="6"/>
  <c r="E16" i="6"/>
  <c r="I16" i="6" s="1"/>
  <c r="F16" i="6"/>
  <c r="J16" i="6" s="1"/>
  <c r="G16" i="6"/>
  <c r="H16" i="6"/>
  <c r="D17" i="6"/>
  <c r="E17" i="6"/>
  <c r="F17" i="6"/>
  <c r="J17" i="6" s="1"/>
  <c r="G17" i="6"/>
  <c r="H17" i="6"/>
  <c r="I17" i="6"/>
  <c r="D18" i="6"/>
  <c r="E18" i="6"/>
  <c r="F18" i="6"/>
  <c r="G18" i="6"/>
  <c r="H18" i="6"/>
  <c r="I18" i="6"/>
  <c r="J18" i="6"/>
  <c r="D19" i="6"/>
  <c r="E19" i="6"/>
  <c r="F19" i="6"/>
  <c r="G19" i="6"/>
  <c r="H19" i="6"/>
  <c r="I19" i="6"/>
  <c r="J19" i="6"/>
  <c r="D20" i="6"/>
  <c r="G20" i="6" s="1"/>
  <c r="E20" i="6"/>
  <c r="F20" i="6"/>
  <c r="D21" i="6"/>
  <c r="G21" i="6" s="1"/>
  <c r="J21" i="6" s="1"/>
  <c r="E21" i="6"/>
  <c r="I21" i="6" s="1"/>
  <c r="F21" i="6"/>
  <c r="D22" i="6"/>
  <c r="G22" i="6" s="1"/>
  <c r="E22" i="6"/>
  <c r="I22" i="6" s="1"/>
  <c r="F22" i="6"/>
  <c r="J22" i="6" s="1"/>
  <c r="D9" i="5"/>
  <c r="F9" i="5" s="1"/>
  <c r="E9" i="5"/>
  <c r="D10" i="5"/>
  <c r="E10" i="5"/>
  <c r="F10" i="5"/>
  <c r="D11" i="5"/>
  <c r="F11" i="5" s="1"/>
  <c r="E11" i="5"/>
  <c r="D12" i="5"/>
  <c r="F12" i="5" s="1"/>
  <c r="E12" i="5"/>
  <c r="D13" i="5"/>
  <c r="E13" i="5"/>
  <c r="F13" i="5"/>
  <c r="D14" i="5"/>
  <c r="F14" i="5" s="1"/>
  <c r="E14" i="5"/>
  <c r="D15" i="5"/>
  <c r="E15" i="5"/>
  <c r="F15" i="5"/>
  <c r="D16" i="5"/>
  <c r="E16" i="5"/>
  <c r="F16" i="5" s="1"/>
  <c r="D17" i="5"/>
  <c r="F17" i="5" s="1"/>
  <c r="E17" i="5"/>
  <c r="D18" i="5"/>
  <c r="E18" i="5"/>
  <c r="F18" i="5"/>
  <c r="D19" i="5"/>
  <c r="F19" i="5" s="1"/>
  <c r="E19" i="5"/>
  <c r="D20" i="5"/>
  <c r="E20" i="5"/>
  <c r="F20" i="5"/>
  <c r="C6" i="4"/>
  <c r="C7" i="4"/>
  <c r="C8" i="4"/>
  <c r="I20" i="6" l="1"/>
  <c r="J20" i="6"/>
  <c r="I12" i="6"/>
  <c r="J12" i="6"/>
  <c r="H20" i="6"/>
  <c r="H12" i="6"/>
  <c r="H21" i="6"/>
  <c r="H13" i="6"/>
  <c r="H22" i="6"/>
  <c r="H14" i="6"/>
</calcChain>
</file>

<file path=xl/sharedStrings.xml><?xml version="1.0" encoding="utf-8"?>
<sst xmlns="http://schemas.openxmlformats.org/spreadsheetml/2006/main" count="476" uniqueCount="76">
  <si>
    <t>PROJECT OVERVIEW</t>
  </si>
  <si>
    <t>Project Title :</t>
  </si>
  <si>
    <t>Objectives</t>
  </si>
  <si>
    <t>Analyze company revenue, COGS and profitability trends to identify key revenue drivers and the most profitable clients.</t>
  </si>
  <si>
    <t>Client Profitability &amp; Revenue Trend Analyis</t>
  </si>
  <si>
    <t>Tools Used</t>
  </si>
  <si>
    <t>Microsoft Excel</t>
  </si>
  <si>
    <t>SUMIFS</t>
  </si>
  <si>
    <t>IF Functions</t>
  </si>
  <si>
    <t>Financial Analysis</t>
  </si>
  <si>
    <t>Data Visualization</t>
  </si>
  <si>
    <t>KPI's Analyzed</t>
  </si>
  <si>
    <t>Revenue</t>
  </si>
  <si>
    <t>COGS</t>
  </si>
  <si>
    <t>Gross Profit</t>
  </si>
  <si>
    <t>Gross Profit %</t>
  </si>
  <si>
    <t>Revenue Contribution %</t>
  </si>
  <si>
    <t>Other</t>
  </si>
  <si>
    <t>Hotels</t>
  </si>
  <si>
    <t>Small retailers</t>
  </si>
  <si>
    <t>Restaurants</t>
  </si>
  <si>
    <t>Subway</t>
  </si>
  <si>
    <t>Fast Food</t>
  </si>
  <si>
    <t>KFC</t>
  </si>
  <si>
    <t>Burger King</t>
  </si>
  <si>
    <t xml:space="preserve">McDonald's </t>
  </si>
  <si>
    <t>Costco</t>
  </si>
  <si>
    <t>Supermarkets</t>
  </si>
  <si>
    <t>Billa</t>
  </si>
  <si>
    <t>Esselunga</t>
  </si>
  <si>
    <t>Carrefour</t>
  </si>
  <si>
    <t>Metro</t>
  </si>
  <si>
    <t>Plus</t>
  </si>
  <si>
    <t>Aldi</t>
  </si>
  <si>
    <t>Kaufland</t>
  </si>
  <si>
    <t>Cogs ($ 000')</t>
  </si>
  <si>
    <t>Revenue ($ 000')</t>
  </si>
  <si>
    <t>Client name</t>
  </si>
  <si>
    <t>Type of client</t>
  </si>
  <si>
    <t>Period</t>
  </si>
  <si>
    <t xml:space="preserve">Total Revenue </t>
  </si>
  <si>
    <t>Gross profit</t>
  </si>
  <si>
    <t>Monthly</t>
  </si>
  <si>
    <t>MONTHLY SUMMARY</t>
  </si>
  <si>
    <t>Create an area chart that shows the development of Revenues and Cogs.</t>
  </si>
  <si>
    <t>%Others</t>
  </si>
  <si>
    <t>%Fast Food</t>
  </si>
  <si>
    <t>%supermarkets</t>
  </si>
  <si>
    <t>Total Revnue</t>
  </si>
  <si>
    <t>Month</t>
  </si>
  <si>
    <t>Monthly Revenue Breakdown</t>
  </si>
  <si>
    <t>Create a chart that shows the incidence on Revenues that different type of clients had throughout the year.</t>
  </si>
  <si>
    <t>GP%</t>
  </si>
  <si>
    <t>KAUFLAND COGS</t>
  </si>
  <si>
    <t>KAUFLAND REV</t>
  </si>
  <si>
    <t>ALDI COGS</t>
  </si>
  <si>
    <t>ALDIS REV</t>
  </si>
  <si>
    <t>Months</t>
  </si>
  <si>
    <t>Monthly Revenue and COGS breakdown for ALDI and KAUFLAND</t>
  </si>
  <si>
    <t>Client</t>
  </si>
  <si>
    <t>ANNUAL REVENUE AND COGS BREAKDOWN FOR ALL CLIENT</t>
  </si>
  <si>
    <t>Create a column chart that shows the development of GP% of Kaufland and Aldi.</t>
  </si>
  <si>
    <t>Source Data Set : Raw transactional data containing monthly revenue and COGS information across different client types and customer accounts.</t>
  </si>
  <si>
    <t>Annual Revenue, COGS &amp; Gross Profit Analysis</t>
  </si>
  <si>
    <t>Calculate total annual revenue, cost of goods sold (COGS), and gross profit to assess the company's overall financial performance for 2015.</t>
  </si>
  <si>
    <t>Monthly Revenue, COGS &amp; Gross Profit Trends</t>
  </si>
  <si>
    <t>Analyze monthly revenue and COGS performance throughout the year and identify profitability trends using gross profit analysis and visualizations.</t>
  </si>
  <si>
    <t>Revenue Contribution by Client Segment</t>
  </si>
  <si>
    <t>Evaluate how different client segments contributed to total revenue and determine the revenue distribution across Supermarkets, Fast Food, and Other client categories.</t>
  </si>
  <si>
    <t>Client Revenue, Gross Profit &amp; Margin Analysis</t>
  </si>
  <si>
    <t>Assess the profitability of individual client accounts by comparing revenue, COGS, gross profit, and gross profit margins to identify the highest-performing customers.</t>
  </si>
  <si>
    <t>Key Insights</t>
  </si>
  <si>
    <t>Restaurants generated the highest GP% (59%).</t>
  </si>
  <si>
    <t>Metro achieved a GP% of 54%.</t>
  </si>
  <si>
    <t>Aldi's GP% declined from 47% to 34% during the year.</t>
  </si>
  <si>
    <t>Kaufland maintained a relatively stable GP% between 39% and 45%.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</si>
</sst>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_-* #,##0\ _л_в_._-;\-* #,##0\ _л_в_._-;_-* &quot;-&quot;??\ _л_в_._-;_-@_-"/>
    <numFmt numFmtId="169" formatCode="_-* #,##0.00\ _л_в_._-;\-* #,##0.00\ _л_в_._-;_-* &quot;-&quot;??\ _л_в_._-;_-@_-"/>
    <numFmt numFmtId="170" formatCode="[$-409]mmm\-yy;@"/>
    <numFmt numFmtId="171" formatCode="&quot;£&quot;#,##0.00"/>
    <numFmt numFmtId="172" formatCode="&quot;£&quot;#,##0"/>
  </numFmts>
  <fonts count="3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 tint="4.9989318521683403E-2"/>
      <name val="Arial"/>
      <family val="2"/>
    </font>
    <font>
      <b/>
      <sz val="9"/>
      <color theme="1" tint="0.14999847407452621"/>
      <name val="Arial"/>
      <family val="2"/>
    </font>
    <font>
      <b/>
      <sz val="12"/>
      <color theme="1"/>
      <name val="Arial"/>
      <family val="2"/>
    </font>
    <font>
      <b/>
      <sz val="9"/>
      <color theme="1" tint="4.9989318521683403E-2"/>
      <name val="Arial Black"/>
      <family val="2"/>
    </font>
    <font>
      <sz val="11"/>
      <color theme="1"/>
      <name val="Aptos Narrow"/>
      <family val="2"/>
      <charset val="204"/>
      <scheme val="minor"/>
    </font>
    <font>
      <sz val="9"/>
      <color theme="1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theme="4" tint="-0.499984740745262"/>
      <name val="Arial"/>
      <family val="2"/>
    </font>
    <font>
      <b/>
      <sz val="10"/>
      <color theme="4" tint="-0.499984740745262"/>
      <name val="Arial"/>
      <family val="2"/>
    </font>
    <font>
      <b/>
      <sz val="11"/>
      <color theme="4" tint="-0.499984740745262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11"/>
      <color theme="3"/>
      <name val="Arial"/>
      <family val="2"/>
    </font>
    <font>
      <b/>
      <sz val="9"/>
      <color theme="3"/>
      <name val="Arial"/>
      <family val="2"/>
    </font>
    <font>
      <b/>
      <sz val="11"/>
      <color theme="3" tint="0.24994659260841701"/>
      <name val="Arial"/>
      <family val="2"/>
    </font>
    <font>
      <b/>
      <sz val="9"/>
      <color theme="3" tint="0.24994659260841701"/>
      <name val="Arial"/>
      <family val="2"/>
    </font>
    <font>
      <b/>
      <sz val="14"/>
      <color theme="3" tint="9.9948118533890809E-2"/>
      <name val="Arial"/>
      <family val="2"/>
    </font>
    <font>
      <sz val="10"/>
      <color theme="1"/>
      <name val="Arial"/>
      <family val="2"/>
      <charset val="204"/>
    </font>
    <font>
      <b/>
      <sz val="11"/>
      <color theme="3" tint="9.9948118533890809E-2"/>
      <name val="Arial"/>
      <family val="2"/>
    </font>
    <font>
      <b/>
      <sz val="9"/>
      <color theme="3" tint="9.9948118533890809E-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medium">
        <color theme="4" tint="-0.24994659260841701"/>
      </bottom>
      <diagonal/>
    </border>
    <border>
      <left/>
      <right/>
      <top/>
      <bottom style="medium">
        <color theme="4" tint="-0.499984740745262"/>
      </bottom>
      <diagonal/>
    </border>
    <border>
      <left/>
      <right/>
      <top/>
      <bottom style="medium">
        <color theme="3" tint="9.9948118533890809E-2"/>
      </bottom>
      <diagonal/>
    </border>
    <border>
      <left/>
      <right/>
      <top style="medium">
        <color theme="3" tint="9.9948118533890809E-2"/>
      </top>
      <bottom style="medium">
        <color theme="3" tint="9.9917600024414813E-2"/>
      </bottom>
      <diagonal/>
    </border>
  </borders>
  <cellStyleXfs count="3">
    <xf numFmtId="0" fontId="0" fillId="0" borderId="0"/>
    <xf numFmtId="0" fontId="13" fillId="0" borderId="0"/>
    <xf numFmtId="169" fontId="13" fillId="0" borderId="0" applyFont="0" applyFill="0" applyBorder="0" applyAlignment="0" applyProtection="0"/>
  </cellStyleXfs>
  <cellXfs count="62">
    <xf numFmtId="0" fontId="0" fillId="0" borderId="0" xfId="0"/>
    <xf numFmtId="0" fontId="0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1" fillId="2" borderId="0" xfId="0" applyFont="1" applyFill="1"/>
    <xf numFmtId="0" fontId="1" fillId="0" borderId="0" xfId="0" applyFont="1"/>
    <xf numFmtId="0" fontId="4" fillId="2" borderId="0" xfId="0" applyFont="1" applyFill="1"/>
    <xf numFmtId="0" fontId="6" fillId="2" borderId="0" xfId="0" applyFont="1" applyFill="1"/>
    <xf numFmtId="0" fontId="0" fillId="3" borderId="0" xfId="0" applyFill="1"/>
    <xf numFmtId="0" fontId="7" fillId="2" borderId="0" xfId="0" applyFont="1" applyFill="1"/>
    <xf numFmtId="0" fontId="9" fillId="3" borderId="0" xfId="0" applyFont="1" applyFill="1"/>
    <xf numFmtId="0" fontId="10" fillId="3" borderId="0" xfId="0" applyFont="1" applyFill="1"/>
    <xf numFmtId="0" fontId="5" fillId="2" borderId="0" xfId="0" applyFont="1" applyFill="1"/>
    <xf numFmtId="0" fontId="11" fillId="2" borderId="0" xfId="0" applyFont="1" applyFill="1"/>
    <xf numFmtId="0" fontId="12" fillId="3" borderId="0" xfId="0" applyFont="1" applyFill="1"/>
    <xf numFmtId="0" fontId="14" fillId="4" borderId="0" xfId="1" applyFont="1" applyFill="1"/>
    <xf numFmtId="168" fontId="14" fillId="4" borderId="0" xfId="1" applyNumberFormat="1" applyFont="1" applyFill="1"/>
    <xf numFmtId="168" fontId="14" fillId="4" borderId="0" xfId="2" applyNumberFormat="1" applyFont="1" applyFill="1"/>
    <xf numFmtId="170" fontId="14" fillId="4" borderId="0" xfId="1" applyNumberFormat="1" applyFont="1" applyFill="1" applyAlignment="1">
      <alignment horizontal="left"/>
    </xf>
    <xf numFmtId="10" fontId="14" fillId="4" borderId="0" xfId="1" applyNumberFormat="1" applyFont="1" applyFill="1"/>
    <xf numFmtId="0" fontId="13" fillId="0" borderId="0" xfId="1"/>
    <xf numFmtId="0" fontId="15" fillId="4" borderId="1" xfId="1" applyFont="1" applyFill="1" applyBorder="1"/>
    <xf numFmtId="0" fontId="16" fillId="4" borderId="0" xfId="1" applyFont="1" applyFill="1"/>
    <xf numFmtId="0" fontId="17" fillId="4" borderId="0" xfId="1" applyFont="1" applyFill="1"/>
    <xf numFmtId="171" fontId="17" fillId="4" borderId="0" xfId="1" applyNumberFormat="1" applyFont="1" applyFill="1"/>
    <xf numFmtId="0" fontId="18" fillId="4" borderId="0" xfId="1" applyFont="1" applyFill="1"/>
    <xf numFmtId="17" fontId="14" fillId="4" borderId="0" xfId="1" applyNumberFormat="1" applyFont="1" applyFill="1" applyAlignment="1">
      <alignment horizontal="left"/>
    </xf>
    <xf numFmtId="171" fontId="14" fillId="4" borderId="0" xfId="1" applyNumberFormat="1" applyFont="1" applyFill="1"/>
    <xf numFmtId="0" fontId="14" fillId="4" borderId="2" xfId="1" applyFont="1" applyFill="1" applyBorder="1" applyAlignment="1">
      <alignment horizontal="left"/>
    </xf>
    <xf numFmtId="0" fontId="17" fillId="4" borderId="2" xfId="1" applyFont="1" applyFill="1" applyBorder="1" applyAlignment="1">
      <alignment horizontal="right"/>
    </xf>
    <xf numFmtId="0" fontId="17" fillId="4" borderId="2" xfId="1" applyFont="1" applyFill="1" applyBorder="1" applyAlignment="1">
      <alignment horizontal="left"/>
    </xf>
    <xf numFmtId="9" fontId="14" fillId="4" borderId="0" xfId="1" applyNumberFormat="1" applyFont="1" applyFill="1"/>
    <xf numFmtId="0" fontId="17" fillId="4" borderId="2" xfId="1" applyFont="1" applyFill="1" applyBorder="1"/>
    <xf numFmtId="0" fontId="19" fillId="4" borderId="0" xfId="1" applyFont="1" applyFill="1"/>
    <xf numFmtId="9" fontId="14" fillId="4" borderId="0" xfId="1" applyNumberFormat="1" applyFont="1" applyFill="1" applyAlignment="1">
      <alignment horizontal="left"/>
    </xf>
    <xf numFmtId="172" fontId="14" fillId="4" borderId="0" xfId="1" applyNumberFormat="1" applyFont="1" applyFill="1" applyAlignment="1">
      <alignment horizontal="left"/>
    </xf>
    <xf numFmtId="0" fontId="17" fillId="4" borderId="3" xfId="1" applyFont="1" applyFill="1" applyBorder="1" applyAlignment="1">
      <alignment horizontal="left"/>
    </xf>
    <xf numFmtId="0" fontId="17" fillId="4" borderId="3" xfId="1" applyFont="1" applyFill="1" applyBorder="1"/>
    <xf numFmtId="0" fontId="14" fillId="4" borderId="0" xfId="1" applyFont="1" applyFill="1" applyAlignment="1">
      <alignment horizontal="left"/>
    </xf>
    <xf numFmtId="9" fontId="14" fillId="4" borderId="0" xfId="1" applyNumberFormat="1" applyFont="1" applyFill="1" applyAlignment="1">
      <alignment horizontal="right"/>
    </xf>
    <xf numFmtId="171" fontId="14" fillId="4" borderId="0" xfId="1" applyNumberFormat="1" applyFont="1" applyFill="1" applyAlignment="1">
      <alignment horizontal="right"/>
    </xf>
    <xf numFmtId="0" fontId="14" fillId="4" borderId="2" xfId="1" applyFont="1" applyFill="1" applyBorder="1"/>
    <xf numFmtId="0" fontId="20" fillId="4" borderId="0" xfId="1" applyFont="1" applyFill="1"/>
    <xf numFmtId="0" fontId="21" fillId="4" borderId="0" xfId="1" applyFont="1" applyFill="1"/>
    <xf numFmtId="0" fontId="22" fillId="0" borderId="0" xfId="0" applyFont="1"/>
    <xf numFmtId="0" fontId="23" fillId="4" borderId="0" xfId="1" applyFont="1" applyFill="1"/>
    <xf numFmtId="0" fontId="8" fillId="0" borderId="0" xfId="0" applyFont="1"/>
    <xf numFmtId="0" fontId="8" fillId="4" borderId="0" xfId="1" applyFont="1" applyFill="1"/>
    <xf numFmtId="171" fontId="17" fillId="4" borderId="4" xfId="1" applyNumberFormat="1" applyFont="1" applyFill="1" applyBorder="1"/>
    <xf numFmtId="171" fontId="17" fillId="4" borderId="5" xfId="1" applyNumberFormat="1" applyFont="1" applyFill="1" applyBorder="1"/>
    <xf numFmtId="0" fontId="24" fillId="0" borderId="0" xfId="0" applyFont="1"/>
    <xf numFmtId="0" fontId="25" fillId="4" borderId="0" xfId="1" applyFont="1" applyFill="1"/>
    <xf numFmtId="171" fontId="14" fillId="4" borderId="0" xfId="1" applyNumberFormat="1" applyFont="1" applyFill="1" applyAlignment="1">
      <alignment horizontal="left"/>
    </xf>
    <xf numFmtId="0" fontId="26" fillId="0" borderId="0" xfId="0" applyFont="1"/>
    <xf numFmtId="0" fontId="26" fillId="4" borderId="0" xfId="1" applyFont="1" applyFill="1"/>
    <xf numFmtId="0" fontId="27" fillId="4" borderId="0" xfId="1" applyFont="1" applyFill="1"/>
    <xf numFmtId="0" fontId="28" fillId="0" borderId="0" xfId="0" applyFont="1" applyAlignment="1">
      <alignment horizontal="left" vertical="center" indent="1"/>
    </xf>
    <xf numFmtId="0" fontId="29" fillId="4" borderId="0" xfId="1" applyFont="1" applyFill="1"/>
    <xf numFmtId="0" fontId="21" fillId="0" borderId="0" xfId="0" applyFont="1"/>
    <xf numFmtId="0" fontId="14" fillId="4" borderId="4" xfId="1" applyFont="1" applyFill="1" applyBorder="1"/>
    <xf numFmtId="0" fontId="28" fillId="0" borderId="4" xfId="0" applyFont="1" applyBorder="1"/>
    <xf numFmtId="0" fontId="29" fillId="4" borderId="4" xfId="1" applyFont="1" applyFill="1" applyBorder="1"/>
  </cellXfs>
  <cellStyles count="3">
    <cellStyle name="Comma 2" xfId="2" xr:uid="{E51E581A-5DA4-4DD6-8530-13485686E460}"/>
    <cellStyle name="Normal" xfId="0" builtinId="0"/>
    <cellStyle name="Normal 2" xfId="1" xr:uid="{19E7EE7D-17C9-4AD4-A1DF-984A6361D3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333333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Monthly Revenue &amp; COGS Development (2015)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333333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'03_Monthly_Performance_Analysis'!$D$8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cat>
            <c:numRef>
              <c:f>'03_Monthly_Performance_Analysis'!$C$9:$C$20</c:f>
              <c:numCache>
                <c:formatCode>mmm\-yy</c:formatCode>
                <c:ptCount val="12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</c:numCache>
            </c:numRef>
          </c:cat>
          <c:val>
            <c:numRef>
              <c:f>'03_Monthly_Performance_Analysis'!$D$9:$D$20</c:f>
              <c:numCache>
                <c:formatCode>"£"#,##0.00</c:formatCode>
                <c:ptCount val="12"/>
                <c:pt idx="0">
                  <c:v>40000</c:v>
                </c:pt>
                <c:pt idx="1">
                  <c:v>44000</c:v>
                </c:pt>
                <c:pt idx="2">
                  <c:v>43120</c:v>
                </c:pt>
                <c:pt idx="3">
                  <c:v>41826.400000000001</c:v>
                </c:pt>
                <c:pt idx="4">
                  <c:v>38062.02399999999</c:v>
                </c:pt>
                <c:pt idx="5">
                  <c:v>40726.365680000003</c:v>
                </c:pt>
                <c:pt idx="6">
                  <c:v>42371.710853472003</c:v>
                </c:pt>
                <c:pt idx="7">
                  <c:v>43202.528713344014</c:v>
                </c:pt>
                <c:pt idx="8">
                  <c:v>47954.806871811852</c:v>
                </c:pt>
                <c:pt idx="9">
                  <c:v>47475.258803093726</c:v>
                </c:pt>
                <c:pt idx="10">
                  <c:v>45576.248450969972</c:v>
                </c:pt>
                <c:pt idx="11">
                  <c:v>50133.873296066973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3E-4A61-8D1C-42E0A9150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763663"/>
        <c:axId val="1304761263"/>
        <c:extLst>
          <c:ext xmlns:c15="http://schemas.microsoft.com/office/drawing/2012/chart" uri="{02D57815-91ED-43cb-92C2-25804820EDAC}">
            <c15:filteredArea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'03_Monthly_Performance_Analysis'!$F$8</c15:sqref>
                        </c15:formulaRef>
                      </c:ext>
                    </c:extLst>
                    <c:strCache>
                      <c:ptCount val="1"/>
                      <c:pt idx="0">
                        <c:v>Gross profit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'03_Monthly_Performance_Analysis'!$C$9:$C$20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42005</c:v>
                      </c:pt>
                      <c:pt idx="1">
                        <c:v>42036</c:v>
                      </c:pt>
                      <c:pt idx="2">
                        <c:v>42064</c:v>
                      </c:pt>
                      <c:pt idx="3">
                        <c:v>42095</c:v>
                      </c:pt>
                      <c:pt idx="4">
                        <c:v>42125</c:v>
                      </c:pt>
                      <c:pt idx="5">
                        <c:v>42156</c:v>
                      </c:pt>
                      <c:pt idx="6">
                        <c:v>42186</c:v>
                      </c:pt>
                      <c:pt idx="7">
                        <c:v>42217</c:v>
                      </c:pt>
                      <c:pt idx="8">
                        <c:v>42248</c:v>
                      </c:pt>
                      <c:pt idx="9">
                        <c:v>42278</c:v>
                      </c:pt>
                      <c:pt idx="10">
                        <c:v>42309</c:v>
                      </c:pt>
                      <c:pt idx="11">
                        <c:v>42339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'03_Monthly_Performance_Analysis'!$F$9:$F$20</c15:sqref>
                        </c15:formulaRef>
                      </c:ext>
                    </c:extLst>
                    <c:numCache>
                      <c:formatCode>"£"#,##0.00</c:formatCode>
                      <c:ptCount val="12"/>
                      <c:pt idx="0">
                        <c:v>20447.52</c:v>
                      </c:pt>
                      <c:pt idx="1">
                        <c:v>22021.948959999998</c:v>
                      </c:pt>
                      <c:pt idx="2">
                        <c:v>21390.482145647995</c:v>
                      </c:pt>
                      <c:pt idx="3">
                        <c:v>20548.279084837872</c:v>
                      </c:pt>
                      <c:pt idx="4">
                        <c:v>18645.61652984043</c:v>
                      </c:pt>
                      <c:pt idx="5">
                        <c:v>19293.409277281866</c:v>
                      </c:pt>
                      <c:pt idx="6">
                        <c:v>19954.076260422153</c:v>
                      </c:pt>
                      <c:pt idx="7">
                        <c:v>19741.572239089393</c:v>
                      </c:pt>
                      <c:pt idx="8">
                        <c:v>21973.3581864076</c:v>
                      </c:pt>
                      <c:pt idx="9">
                        <c:v>23490.312737843193</c:v>
                      </c:pt>
                      <c:pt idx="10">
                        <c:v>21697.226516197759</c:v>
                      </c:pt>
                      <c:pt idx="11">
                        <c:v>22820.598387918704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4D3E-4A61-8D1C-42E0A915035D}"/>
                  </c:ext>
                </c:extLst>
              </c15:ser>
            </c15:filteredAreaSeries>
          </c:ext>
        </c:extLst>
      </c:areaChart>
      <c:lineChart>
        <c:grouping val="standard"/>
        <c:varyColors val="0"/>
        <c:ser>
          <c:idx val="1"/>
          <c:order val="1"/>
          <c:tx>
            <c:strRef>
              <c:f>'03_Monthly_Performance_Analysis'!$E$8</c:f>
              <c:strCache>
                <c:ptCount val="1"/>
                <c:pt idx="0">
                  <c:v>COGS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\£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33333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'03_Monthly_Performance_Analysis'!$C$9:$C$20</c:f>
              <c:numCache>
                <c:formatCode>mmm\-yy</c:formatCode>
                <c:ptCount val="12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</c:numCache>
            </c:numRef>
          </c:cat>
          <c:val>
            <c:numRef>
              <c:f>'03_Monthly_Performance_Analysis'!$E$9:$E$20</c:f>
              <c:numCache>
                <c:formatCode>"£"#,##0.00</c:formatCode>
                <c:ptCount val="12"/>
                <c:pt idx="0">
                  <c:v>19552.48</c:v>
                </c:pt>
                <c:pt idx="1">
                  <c:v>21978.051040000002</c:v>
                </c:pt>
                <c:pt idx="2">
                  <c:v>21729.517854352005</c:v>
                </c:pt>
                <c:pt idx="3">
                  <c:v>21278.12091516213</c:v>
                </c:pt>
                <c:pt idx="4">
                  <c:v>19416.40747015956</c:v>
                </c:pt>
                <c:pt idx="5">
                  <c:v>21432.956402718137</c:v>
                </c:pt>
                <c:pt idx="6">
                  <c:v>22417.63459304985</c:v>
                </c:pt>
                <c:pt idx="7">
                  <c:v>23460.956474254621</c:v>
                </c:pt>
                <c:pt idx="8">
                  <c:v>25981.448685404252</c:v>
                </c:pt>
                <c:pt idx="9">
                  <c:v>23984.946065250533</c:v>
                </c:pt>
                <c:pt idx="10">
                  <c:v>23879.021934772212</c:v>
                </c:pt>
                <c:pt idx="11">
                  <c:v>27313.274908148269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3E-4A61-8D1C-42E0A9150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5856351"/>
        <c:axId val="1375855871"/>
      </c:lineChart>
      <c:dateAx>
        <c:axId val="1304763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900" b="1">
                    <a:solidFill>
                      <a:schemeClr val="tx2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Monthly</a:t>
                </a:r>
              </a:p>
            </c:rich>
          </c:tx>
          <c:layout>
            <c:manualLayout>
              <c:xMode val="edge"/>
              <c:yMode val="edge"/>
              <c:x val="0.46866484393022578"/>
              <c:y val="0.849579348837450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BFBFBF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761263"/>
        <c:crosses val="autoZero"/>
        <c:auto val="1"/>
        <c:lblOffset val="100"/>
        <c:baseTimeUnit val="months"/>
      </c:dateAx>
      <c:valAx>
        <c:axId val="130476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6E6E6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900"/>
                  <a:t> </a:t>
                </a:r>
                <a:r>
                  <a:rPr lang="en-GB" sz="900" b="1">
                    <a:solidFill>
                      <a:schemeClr val="tx2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Revenue</a:t>
                </a:r>
              </a:p>
            </c:rich>
          </c:tx>
          <c:layout>
            <c:manualLayout>
              <c:xMode val="edge"/>
              <c:yMode val="edge"/>
              <c:x val="1.5209125475285171E-2"/>
              <c:y val="0.255003754115087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£#,##0,&quot;K&quot;" sourceLinked="0"/>
        <c:majorTickMark val="none"/>
        <c:minorTickMark val="none"/>
        <c:tickLblPos val="nextTo"/>
        <c:spPr>
          <a:noFill/>
          <a:ln>
            <a:solidFill>
              <a:srgbClr val="BFBFBF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763663"/>
        <c:crosses val="autoZero"/>
        <c:crossBetween val="between"/>
      </c:valAx>
      <c:valAx>
        <c:axId val="1375855871"/>
        <c:scaling>
          <c:orientation val="minMax"/>
        </c:scaling>
        <c:delete val="0"/>
        <c:axPos val="r"/>
        <c:numFmt formatCode="\£#,##0,&quot;K&quot;" sourceLinked="0"/>
        <c:majorTickMark val="out"/>
        <c:minorTickMark val="none"/>
        <c:tickLblPos val="nextTo"/>
        <c:spPr>
          <a:noFill/>
          <a:ln>
            <a:solidFill>
              <a:srgbClr val="BFBFBF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856351"/>
        <c:crosses val="max"/>
        <c:crossBetween val="between"/>
      </c:valAx>
      <c:dateAx>
        <c:axId val="137585635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375855871"/>
        <c:crosses val="autoZero"/>
        <c:auto val="1"/>
        <c:lblOffset val="100"/>
        <c:baseTimeUnit val="months"/>
        <c:majorUnit val="1"/>
        <c:minorUnit val="1"/>
      </c:dateAx>
      <c:spPr>
        <a:noFill/>
        <a:ln w="6350">
          <a:solidFill>
            <a:srgbClr val="D9D9D9"/>
          </a:solidFill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Revenue</a:t>
            </a:r>
            <a:r>
              <a:rPr lang="en-GB" sz="1000" b="1" baseline="0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Incidence By client Type</a:t>
            </a:r>
          </a:p>
          <a:p>
            <a:pPr>
              <a:defRPr/>
            </a:pPr>
            <a:endParaRPr lang="en-GB" sz="1000" b="1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4"/>
          <c:order val="4"/>
          <c:tx>
            <c:strRef>
              <c:f>'04_Revenue_Mix_Analysis'!$H$10</c:f>
              <c:strCache>
                <c:ptCount val="1"/>
                <c:pt idx="0">
                  <c:v>%supermarkets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'04_Revenue_Mix_Analysis'!$C$11:$C$22</c:f>
              <c:numCache>
                <c:formatCode>mmm\-yy</c:formatCode>
                <c:ptCount val="12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</c:numCache>
            </c:numRef>
          </c:cat>
          <c:val>
            <c:numRef>
              <c:f>'04_Revenue_Mix_Analysis'!$H$11:$H$22</c:f>
              <c:numCache>
                <c:formatCode>0%</c:formatCode>
                <c:ptCount val="12"/>
                <c:pt idx="0">
                  <c:v>0.61899999999999999</c:v>
                </c:pt>
                <c:pt idx="1">
                  <c:v>0.55900000000000005</c:v>
                </c:pt>
                <c:pt idx="2">
                  <c:v>0.59899999999999998</c:v>
                </c:pt>
                <c:pt idx="3">
                  <c:v>0.52900000000000003</c:v>
                </c:pt>
                <c:pt idx="4">
                  <c:v>0.51600000000000001</c:v>
                </c:pt>
                <c:pt idx="5">
                  <c:v>0.56600000000000006</c:v>
                </c:pt>
                <c:pt idx="6">
                  <c:v>0.60392156862745094</c:v>
                </c:pt>
                <c:pt idx="7">
                  <c:v>0.66600000000000004</c:v>
                </c:pt>
                <c:pt idx="8">
                  <c:v>0.57600000000000007</c:v>
                </c:pt>
                <c:pt idx="9">
                  <c:v>0.53599999999999992</c:v>
                </c:pt>
                <c:pt idx="10">
                  <c:v>0.55599999999999994</c:v>
                </c:pt>
                <c:pt idx="11">
                  <c:v>0.48099999999999993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C0-4BF6-9C3C-5249739A874D}"/>
            </c:ext>
          </c:extLst>
        </c:ser>
        <c:ser>
          <c:idx val="5"/>
          <c:order val="5"/>
          <c:tx>
            <c:strRef>
              <c:f>'04_Revenue_Mix_Analysis'!$I$10</c:f>
              <c:strCache>
                <c:ptCount val="1"/>
                <c:pt idx="0">
                  <c:v>%Fast Food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'04_Revenue_Mix_Analysis'!$C$11:$C$22</c:f>
              <c:numCache>
                <c:formatCode>mmm\-yy</c:formatCode>
                <c:ptCount val="12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</c:numCache>
            </c:numRef>
          </c:cat>
          <c:val>
            <c:numRef>
              <c:f>'04_Revenue_Mix_Analysis'!$I$11:$I$22</c:f>
              <c:numCache>
                <c:formatCode>0%</c:formatCode>
                <c:ptCount val="12"/>
                <c:pt idx="0">
                  <c:v>0.113</c:v>
                </c:pt>
                <c:pt idx="1">
                  <c:v>0.13300000000000001</c:v>
                </c:pt>
                <c:pt idx="2">
                  <c:v>0.11299999999999999</c:v>
                </c:pt>
                <c:pt idx="3">
                  <c:v>0.16300000000000001</c:v>
                </c:pt>
                <c:pt idx="4">
                  <c:v>0.16600000000000001</c:v>
                </c:pt>
                <c:pt idx="5">
                  <c:v>0.156</c:v>
                </c:pt>
                <c:pt idx="6">
                  <c:v>0.1235294117647059</c:v>
                </c:pt>
                <c:pt idx="7">
                  <c:v>0.11599999999999999</c:v>
                </c:pt>
                <c:pt idx="8">
                  <c:v>0.17599999999999999</c:v>
                </c:pt>
                <c:pt idx="9">
                  <c:v>0.19700000000000001</c:v>
                </c:pt>
                <c:pt idx="10">
                  <c:v>0.217</c:v>
                </c:pt>
                <c:pt idx="11">
                  <c:v>0.22699999999999995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C0-4BF6-9C3C-5249739A874D}"/>
            </c:ext>
          </c:extLst>
        </c:ser>
        <c:ser>
          <c:idx val="6"/>
          <c:order val="6"/>
          <c:tx>
            <c:strRef>
              <c:f>'04_Revenue_Mix_Analysis'!$J$10</c:f>
              <c:strCache>
                <c:ptCount val="1"/>
                <c:pt idx="0">
                  <c:v>%Others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solidFill>
                <a:schemeClr val="bg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'04_Revenue_Mix_Analysis'!$C$11:$C$22</c:f>
              <c:numCache>
                <c:formatCode>mmm\-yy</c:formatCode>
                <c:ptCount val="12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</c:numCache>
            </c:numRef>
          </c:cat>
          <c:val>
            <c:numRef>
              <c:f>'04_Revenue_Mix_Analysis'!$J$11:$J$22</c:f>
              <c:numCache>
                <c:formatCode>0%</c:formatCode>
                <c:ptCount val="12"/>
                <c:pt idx="0">
                  <c:v>0.26800000000000002</c:v>
                </c:pt>
                <c:pt idx="1">
                  <c:v>0.308</c:v>
                </c:pt>
                <c:pt idx="2">
                  <c:v>0.28799999999999998</c:v>
                </c:pt>
                <c:pt idx="3">
                  <c:v>0.308</c:v>
                </c:pt>
                <c:pt idx="4">
                  <c:v>0.318</c:v>
                </c:pt>
                <c:pt idx="5">
                  <c:v>0.27800000000000002</c:v>
                </c:pt>
                <c:pt idx="6">
                  <c:v>0.27254901960784311</c:v>
                </c:pt>
                <c:pt idx="7">
                  <c:v>0.218</c:v>
                </c:pt>
                <c:pt idx="8">
                  <c:v>0.24799999999999997</c:v>
                </c:pt>
                <c:pt idx="9">
                  <c:v>0.26700000000000007</c:v>
                </c:pt>
                <c:pt idx="10">
                  <c:v>0.22700000000000001</c:v>
                </c:pt>
                <c:pt idx="11">
                  <c:v>0.29199999999999998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C0-4BF6-9C3C-5249739A874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0"/>
        <c:overlap val="100"/>
        <c:axId val="1455326063"/>
        <c:axId val="147123111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'04_Revenue_Mix_Analysis'!$D$10</c15:sqref>
                        </c15:formulaRef>
                      </c:ext>
                    </c:extLst>
                    <c:strCache>
                      <c:ptCount val="1"/>
                      <c:pt idx="0">
                        <c:v>Supermarkets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'04_Revenue_Mix_Analysis'!$C$11:$C$22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42005</c:v>
                      </c:pt>
                      <c:pt idx="1">
                        <c:v>42036</c:v>
                      </c:pt>
                      <c:pt idx="2">
                        <c:v>42064</c:v>
                      </c:pt>
                      <c:pt idx="3">
                        <c:v>42095</c:v>
                      </c:pt>
                      <c:pt idx="4">
                        <c:v>42125</c:v>
                      </c:pt>
                      <c:pt idx="5">
                        <c:v>42156</c:v>
                      </c:pt>
                      <c:pt idx="6">
                        <c:v>42186</c:v>
                      </c:pt>
                      <c:pt idx="7">
                        <c:v>42217</c:v>
                      </c:pt>
                      <c:pt idx="8">
                        <c:v>42248</c:v>
                      </c:pt>
                      <c:pt idx="9">
                        <c:v>42278</c:v>
                      </c:pt>
                      <c:pt idx="10">
                        <c:v>42309</c:v>
                      </c:pt>
                      <c:pt idx="11">
                        <c:v>42339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'04_Revenue_Mix_Analysis'!$D$11:$D$22</c15:sqref>
                        </c15:formulaRef>
                      </c:ext>
                    </c:extLst>
                    <c:numCache>
                      <c:formatCode>"£"#,##0.00</c:formatCode>
                      <c:ptCount val="12"/>
                      <c:pt idx="0">
                        <c:v>24760</c:v>
                      </c:pt>
                      <c:pt idx="1">
                        <c:v>24596</c:v>
                      </c:pt>
                      <c:pt idx="2">
                        <c:v>25828.880000000005</c:v>
                      </c:pt>
                      <c:pt idx="3">
                        <c:v>22126.1656</c:v>
                      </c:pt>
                      <c:pt idx="4">
                        <c:v>19640.004384</c:v>
                      </c:pt>
                      <c:pt idx="5">
                        <c:v>23051.122974880003</c:v>
                      </c:pt>
                      <c:pt idx="6">
                        <c:v>25589.190084057602</c:v>
                      </c:pt>
                      <c:pt idx="7">
                        <c:v>28772.884123087115</c:v>
                      </c:pt>
                      <c:pt idx="8">
                        <c:v>27621.968758163628</c:v>
                      </c:pt>
                      <c:pt idx="9">
                        <c:v>25446.738718458233</c:v>
                      </c:pt>
                      <c:pt idx="10">
                        <c:v>25340.394138739306</c:v>
                      </c:pt>
                      <c:pt idx="11">
                        <c:v>24114.393055408218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6EC0-4BF6-9C3C-5249739A874D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'04_Revenue_Mix_Analysis'!$E$10</c15:sqref>
                        </c15:formulaRef>
                      </c:ext>
                    </c:extLst>
                    <c:strCache>
                      <c:ptCount val="1"/>
                      <c:pt idx="0">
                        <c:v>Fast Food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'04_Revenue_Mix_Analysis'!$C$11:$C$22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42005</c:v>
                      </c:pt>
                      <c:pt idx="1">
                        <c:v>42036</c:v>
                      </c:pt>
                      <c:pt idx="2">
                        <c:v>42064</c:v>
                      </c:pt>
                      <c:pt idx="3">
                        <c:v>42095</c:v>
                      </c:pt>
                      <c:pt idx="4">
                        <c:v>42125</c:v>
                      </c:pt>
                      <c:pt idx="5">
                        <c:v>42156</c:v>
                      </c:pt>
                      <c:pt idx="6">
                        <c:v>42186</c:v>
                      </c:pt>
                      <c:pt idx="7">
                        <c:v>42217</c:v>
                      </c:pt>
                      <c:pt idx="8">
                        <c:v>42248</c:v>
                      </c:pt>
                      <c:pt idx="9">
                        <c:v>42278</c:v>
                      </c:pt>
                      <c:pt idx="10">
                        <c:v>42309</c:v>
                      </c:pt>
                      <c:pt idx="11">
                        <c:v>42339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'04_Revenue_Mix_Analysis'!$E$11:$E$22</c15:sqref>
                        </c15:formulaRef>
                      </c:ext>
                    </c:extLst>
                    <c:numCache>
                      <c:formatCode>"£"#,##0.00</c:formatCode>
                      <c:ptCount val="12"/>
                      <c:pt idx="0">
                        <c:v>4520</c:v>
                      </c:pt>
                      <c:pt idx="1">
                        <c:v>5852</c:v>
                      </c:pt>
                      <c:pt idx="2">
                        <c:v>4872.5600000000004</c:v>
                      </c:pt>
                      <c:pt idx="3">
                        <c:v>6817.7032000000008</c:v>
                      </c:pt>
                      <c:pt idx="4">
                        <c:v>6318.2959840000003</c:v>
                      </c:pt>
                      <c:pt idx="5">
                        <c:v>6353.3130460800003</c:v>
                      </c:pt>
                      <c:pt idx="6">
                        <c:v>5234.1525171936009</c:v>
                      </c:pt>
                      <c:pt idx="7">
                        <c:v>5011.493330747905</c:v>
                      </c:pt>
                      <c:pt idx="8">
                        <c:v>8440.0460094388854</c:v>
                      </c:pt>
                      <c:pt idx="9">
                        <c:v>9352.6259842094641</c:v>
                      </c:pt>
                      <c:pt idx="10">
                        <c:v>9890.0459138604856</c:v>
                      </c:pt>
                      <c:pt idx="11">
                        <c:v>11380.389238207204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6EC0-4BF6-9C3C-5249739A874D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'04_Revenue_Mix_Analysis'!$F$10</c15:sqref>
                        </c15:formulaRef>
                      </c:ext>
                    </c:extLst>
                    <c:strCache>
                      <c:ptCount val="1"/>
                      <c:pt idx="0">
                        <c:v>Other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'04_Revenue_Mix_Analysis'!$C$11:$C$22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42005</c:v>
                      </c:pt>
                      <c:pt idx="1">
                        <c:v>42036</c:v>
                      </c:pt>
                      <c:pt idx="2">
                        <c:v>42064</c:v>
                      </c:pt>
                      <c:pt idx="3">
                        <c:v>42095</c:v>
                      </c:pt>
                      <c:pt idx="4">
                        <c:v>42125</c:v>
                      </c:pt>
                      <c:pt idx="5">
                        <c:v>42156</c:v>
                      </c:pt>
                      <c:pt idx="6">
                        <c:v>42186</c:v>
                      </c:pt>
                      <c:pt idx="7">
                        <c:v>42217</c:v>
                      </c:pt>
                      <c:pt idx="8">
                        <c:v>42248</c:v>
                      </c:pt>
                      <c:pt idx="9">
                        <c:v>42278</c:v>
                      </c:pt>
                      <c:pt idx="10">
                        <c:v>42309</c:v>
                      </c:pt>
                      <c:pt idx="11">
                        <c:v>42339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'04_Revenue_Mix_Analysis'!$F$11:$F$22</c15:sqref>
                        </c15:formulaRef>
                      </c:ext>
                    </c:extLst>
                    <c:numCache>
                      <c:formatCode>"£"#,##0.00</c:formatCode>
                      <c:ptCount val="12"/>
                      <c:pt idx="0">
                        <c:v>10720</c:v>
                      </c:pt>
                      <c:pt idx="1">
                        <c:v>13552</c:v>
                      </c:pt>
                      <c:pt idx="2">
                        <c:v>12418.560000000001</c:v>
                      </c:pt>
                      <c:pt idx="3">
                        <c:v>12882.531199999999</c:v>
                      </c:pt>
                      <c:pt idx="4">
                        <c:v>12103.723631999999</c:v>
                      </c:pt>
                      <c:pt idx="5">
                        <c:v>11321.929659040001</c:v>
                      </c:pt>
                      <c:pt idx="6">
                        <c:v>11548.3682522208</c:v>
                      </c:pt>
                      <c:pt idx="7">
                        <c:v>9418.1512595089953</c:v>
                      </c:pt>
                      <c:pt idx="8">
                        <c:v>11892.792104209339</c:v>
                      </c:pt>
                      <c:pt idx="9">
                        <c:v>12675.894100426027</c:v>
                      </c:pt>
                      <c:pt idx="10">
                        <c:v>10345.808398370185</c:v>
                      </c:pt>
                      <c:pt idx="11">
                        <c:v>14639.09100245156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6EC0-4BF6-9C3C-5249739A874D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'04_Revenue_Mix_Analysis'!$G$10</c15:sqref>
                        </c15:formulaRef>
                      </c:ext>
                    </c:extLst>
                    <c:strCache>
                      <c:ptCount val="1"/>
                      <c:pt idx="0">
                        <c:v>Total Revnue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'04_Revenue_Mix_Analysis'!$C$11:$C$22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42005</c:v>
                      </c:pt>
                      <c:pt idx="1">
                        <c:v>42036</c:v>
                      </c:pt>
                      <c:pt idx="2">
                        <c:v>42064</c:v>
                      </c:pt>
                      <c:pt idx="3">
                        <c:v>42095</c:v>
                      </c:pt>
                      <c:pt idx="4">
                        <c:v>42125</c:v>
                      </c:pt>
                      <c:pt idx="5">
                        <c:v>42156</c:v>
                      </c:pt>
                      <c:pt idx="6">
                        <c:v>42186</c:v>
                      </c:pt>
                      <c:pt idx="7">
                        <c:v>42217</c:v>
                      </c:pt>
                      <c:pt idx="8">
                        <c:v>42248</c:v>
                      </c:pt>
                      <c:pt idx="9">
                        <c:v>42278</c:v>
                      </c:pt>
                      <c:pt idx="10">
                        <c:v>42309</c:v>
                      </c:pt>
                      <c:pt idx="11">
                        <c:v>42339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'04_Revenue_Mix_Analysis'!$G$11:$G$22</c15:sqref>
                        </c15:formulaRef>
                      </c:ext>
                    </c:extLst>
                    <c:numCache>
                      <c:formatCode>"£"#,##0.00</c:formatCode>
                      <c:ptCount val="12"/>
                      <c:pt idx="0">
                        <c:v>40000</c:v>
                      </c:pt>
                      <c:pt idx="1">
                        <c:v>44000</c:v>
                      </c:pt>
                      <c:pt idx="2">
                        <c:v>43120.000000000007</c:v>
                      </c:pt>
                      <c:pt idx="3">
                        <c:v>41826.400000000001</c:v>
                      </c:pt>
                      <c:pt idx="4">
                        <c:v>38062.023999999998</c:v>
                      </c:pt>
                      <c:pt idx="5">
                        <c:v>40726.365680000003</c:v>
                      </c:pt>
                      <c:pt idx="6">
                        <c:v>42371.710853472003</c:v>
                      </c:pt>
                      <c:pt idx="7">
                        <c:v>43202.528713344014</c:v>
                      </c:pt>
                      <c:pt idx="8">
                        <c:v>47954.806871811852</c:v>
                      </c:pt>
                      <c:pt idx="9">
                        <c:v>47475.258803093726</c:v>
                      </c:pt>
                      <c:pt idx="10">
                        <c:v>45576.248450969979</c:v>
                      </c:pt>
                      <c:pt idx="11">
                        <c:v>50133.873296066988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6EC0-4BF6-9C3C-5249739A874D}"/>
                  </c:ext>
                </c:extLst>
              </c15:ser>
            </c15:filteredBarSeries>
          </c:ext>
        </c:extLst>
      </c:barChart>
      <c:dateAx>
        <c:axId val="145532606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231119"/>
        <c:crosses val="autoZero"/>
        <c:auto val="1"/>
        <c:lblOffset val="100"/>
        <c:baseTimeUnit val="months"/>
      </c:dateAx>
      <c:valAx>
        <c:axId val="147123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32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GP% Comparison: Aldi vs Kaufland (2015)</a:t>
            </a:r>
          </a:p>
        </c:rich>
      </c:tx>
      <c:layout>
        <c:manualLayout>
          <c:xMode val="edge"/>
          <c:yMode val="edge"/>
          <c:x val="0.13834011373578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137270341207352"/>
          <c:y val="0.25083333333333335"/>
          <c:w val="0.50616754155730537"/>
          <c:h val="0.56320209973753277"/>
        </c:manualLayout>
      </c:layout>
      <c:lineChart>
        <c:grouping val="standard"/>
        <c:varyColors val="0"/>
        <c:ser>
          <c:idx val="0"/>
          <c:order val="0"/>
          <c:tx>
            <c:strRef>
              <c:f>'05_Client_Profitability_Analysi'!$D$27:$D$29</c:f>
              <c:strCache>
                <c:ptCount val="3"/>
                <c:pt idx="0">
                  <c:v>Monthly Revenue and COGS breakdown for ALDI and KAUFLAND</c:v>
                </c:pt>
                <c:pt idx="1">
                  <c:v>Aldi</c:v>
                </c:pt>
                <c:pt idx="2">
                  <c:v>ALDIS REV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'05_Client_Profitability_Analysi'!$C$30:$C$41</c:f>
              <c:numCache>
                <c:formatCode>mmm\-yy</c:formatCode>
                <c:ptCount val="12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</c:numCache>
            </c:numRef>
          </c:cat>
          <c:val>
            <c:numRef>
              <c:f>'05_Client_Profitability_Analysi'!$D$30:$D$41</c:f>
              <c:numCache>
                <c:formatCode>"£"#,##0</c:formatCode>
                <c:ptCount val="12"/>
                <c:pt idx="0">
                  <c:v>2600</c:v>
                </c:pt>
                <c:pt idx="1">
                  <c:v>1980</c:v>
                </c:pt>
                <c:pt idx="2">
                  <c:v>2802.8</c:v>
                </c:pt>
                <c:pt idx="3">
                  <c:v>3136.98</c:v>
                </c:pt>
                <c:pt idx="4">
                  <c:v>1712.7910799999997</c:v>
                </c:pt>
                <c:pt idx="5">
                  <c:v>3461.7410828000006</c:v>
                </c:pt>
                <c:pt idx="6">
                  <c:v>4361.7937643280002</c:v>
                </c:pt>
                <c:pt idx="7">
                  <c:v>5400.3160891680009</c:v>
                </c:pt>
                <c:pt idx="8">
                  <c:v>4555.7066528221258</c:v>
                </c:pt>
                <c:pt idx="9">
                  <c:v>4510.1495862939037</c:v>
                </c:pt>
                <c:pt idx="10">
                  <c:v>5241.2685718615476</c:v>
                </c:pt>
                <c:pt idx="11">
                  <c:v>4762.7179631263634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91-40A7-A0D1-8417B9A9121E}"/>
            </c:ext>
          </c:extLst>
        </c:ser>
        <c:ser>
          <c:idx val="1"/>
          <c:order val="1"/>
          <c:tx>
            <c:strRef>
              <c:f>'05_Client_Profitability_Analysi'!$E$27:$E$29</c:f>
              <c:strCache>
                <c:ptCount val="3"/>
                <c:pt idx="0">
                  <c:v>Monthly Revenue and COGS breakdown for ALDI and KAUFLAND</c:v>
                </c:pt>
                <c:pt idx="1">
                  <c:v>Aldi</c:v>
                </c:pt>
                <c:pt idx="2">
                  <c:v>ALDI COGS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'05_Client_Profitability_Analysi'!$C$30:$C$41</c:f>
              <c:numCache>
                <c:formatCode>mmm\-yy</c:formatCode>
                <c:ptCount val="12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</c:numCache>
            </c:numRef>
          </c:cat>
          <c:val>
            <c:numRef>
              <c:f>'05_Client_Profitability_Analysi'!$E$30:$E$41</c:f>
              <c:numCache>
                <c:formatCode>"£"#,##0</c:formatCode>
                <c:ptCount val="12"/>
                <c:pt idx="0">
                  <c:v>1391</c:v>
                </c:pt>
                <c:pt idx="1">
                  <c:v>1101.672</c:v>
                </c:pt>
                <c:pt idx="2">
                  <c:v>1621.8570368000003</c:v>
                </c:pt>
                <c:pt idx="3">
                  <c:v>1851.5369448576002</c:v>
                </c:pt>
                <c:pt idx="4">
                  <c:v>1031.1579553300946</c:v>
                </c:pt>
                <c:pt idx="5">
                  <c:v>2042.4031048117042</c:v>
                </c:pt>
                <c:pt idx="6">
                  <c:v>2676.3650285452568</c:v>
                </c:pt>
                <c:pt idx="7">
                  <c:v>3446.1385891363693</c:v>
                </c:pt>
                <c:pt idx="8">
                  <c:v>2819.9476383815781</c:v>
                </c:pt>
                <c:pt idx="9">
                  <c:v>2509.4472298139281</c:v>
                </c:pt>
                <c:pt idx="10">
                  <c:v>3155.4203235905684</c:v>
                </c:pt>
                <c:pt idx="11">
                  <c:v>3160.8345375591989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91-40A7-A0D1-8417B9A9121E}"/>
            </c:ext>
          </c:extLst>
        </c:ser>
        <c:ser>
          <c:idx val="2"/>
          <c:order val="2"/>
          <c:tx>
            <c:strRef>
              <c:f>'05_Client_Profitability_Analysi'!$F$27:$F$29</c:f>
              <c:strCache>
                <c:ptCount val="3"/>
                <c:pt idx="0">
                  <c:v>Monthly Revenue and COGS breakdown for ALDI and KAUFLAND</c:v>
                </c:pt>
                <c:pt idx="1">
                  <c:v>Aldi</c:v>
                </c:pt>
                <c:pt idx="2">
                  <c:v>Gross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'05_Client_Profitability_Analysi'!$C$30:$C$41</c:f>
              <c:numCache>
                <c:formatCode>mmm\-yy</c:formatCode>
                <c:ptCount val="12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</c:numCache>
            </c:numRef>
          </c:cat>
          <c:val>
            <c:numRef>
              <c:f>'05_Client_Profitability_Analysi'!$F$30:$F$41</c:f>
              <c:numCache>
                <c:formatCode>"£"#,##0</c:formatCode>
                <c:ptCount val="12"/>
                <c:pt idx="0">
                  <c:v>1209</c:v>
                </c:pt>
                <c:pt idx="1">
                  <c:v>878.32799999999997</c:v>
                </c:pt>
                <c:pt idx="2">
                  <c:v>1180.9429631999999</c:v>
                </c:pt>
                <c:pt idx="3">
                  <c:v>1285.4430551423998</c:v>
                </c:pt>
                <c:pt idx="4">
                  <c:v>681.6331246699051</c:v>
                </c:pt>
                <c:pt idx="5">
                  <c:v>1419.3379779882964</c:v>
                </c:pt>
                <c:pt idx="6">
                  <c:v>1685.4287357827434</c:v>
                </c:pt>
                <c:pt idx="7">
                  <c:v>1954.1775000316316</c:v>
                </c:pt>
                <c:pt idx="8">
                  <c:v>1735.7590144405476</c:v>
                </c:pt>
                <c:pt idx="9">
                  <c:v>2000.7023564799756</c:v>
                </c:pt>
                <c:pt idx="10">
                  <c:v>2085.8482482709792</c:v>
                </c:pt>
                <c:pt idx="11">
                  <c:v>1601.8834255671645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91-40A7-A0D1-8417B9A9121E}"/>
            </c:ext>
          </c:extLst>
        </c:ser>
        <c:ser>
          <c:idx val="3"/>
          <c:order val="3"/>
          <c:tx>
            <c:strRef>
              <c:f>'05_Client_Profitability_Analysi'!$G$27:$G$29</c:f>
              <c:strCache>
                <c:ptCount val="3"/>
                <c:pt idx="0">
                  <c:v>Monthly Revenue and COGS breakdown for ALDI and KAUFLAND</c:v>
                </c:pt>
                <c:pt idx="1">
                  <c:v>Aldi</c:v>
                </c:pt>
                <c:pt idx="2">
                  <c:v>GP%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'05_Client_Profitability_Analysi'!$C$30:$C$41</c:f>
              <c:numCache>
                <c:formatCode>mmm\-yy</c:formatCode>
                <c:ptCount val="12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</c:numCache>
            </c:numRef>
          </c:cat>
          <c:val>
            <c:numRef>
              <c:f>'05_Client_Profitability_Analysi'!$G$30:$G$41</c:f>
              <c:numCache>
                <c:formatCode>0%</c:formatCode>
                <c:ptCount val="12"/>
                <c:pt idx="0">
                  <c:v>0.46500000000000002</c:v>
                </c:pt>
                <c:pt idx="1">
                  <c:v>0.44359999999999999</c:v>
                </c:pt>
                <c:pt idx="2">
                  <c:v>0.42134399999999994</c:v>
                </c:pt>
                <c:pt idx="3">
                  <c:v>0.40977087999999995</c:v>
                </c:pt>
                <c:pt idx="4">
                  <c:v>0.39796629759999991</c:v>
                </c:pt>
                <c:pt idx="5">
                  <c:v>0.41000697164799993</c:v>
                </c:pt>
                <c:pt idx="6">
                  <c:v>0.38640725051391994</c:v>
                </c:pt>
                <c:pt idx="7">
                  <c:v>0.36186354053447667</c:v>
                </c:pt>
                <c:pt idx="8">
                  <c:v>0.38100763431844237</c:v>
                </c:pt>
                <c:pt idx="9">
                  <c:v>0.44359999999999999</c:v>
                </c:pt>
                <c:pt idx="10">
                  <c:v>0.39796629759999991</c:v>
                </c:pt>
                <c:pt idx="11">
                  <c:v>0.3363380821558557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91-40A7-A0D1-8417B9A9121E}"/>
            </c:ext>
          </c:extLst>
        </c:ser>
        <c:ser>
          <c:idx val="4"/>
          <c:order val="4"/>
          <c:tx>
            <c:strRef>
              <c:f>'05_Client_Profitability_Analysi'!$H$27:$H$29</c:f>
              <c:strCache>
                <c:ptCount val="3"/>
                <c:pt idx="0">
                  <c:v>Monthly Revenue and COGS breakdown for ALDI and KAUFLAND</c:v>
                </c:pt>
                <c:pt idx="1">
                  <c:v>Kaufland</c:v>
                </c:pt>
                <c:pt idx="2">
                  <c:v>KAUFLAND REV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'05_Client_Profitability_Analysi'!$C$30:$C$41</c:f>
              <c:numCache>
                <c:formatCode>mmm\-yy</c:formatCode>
                <c:ptCount val="12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</c:numCache>
            </c:numRef>
          </c:cat>
          <c:val>
            <c:numRef>
              <c:f>'05_Client_Profitability_Analysi'!$H$30:$H$41</c:f>
              <c:numCache>
                <c:formatCode>"£"#,##0</c:formatCode>
                <c:ptCount val="12"/>
                <c:pt idx="0">
                  <c:v>4680</c:v>
                </c:pt>
                <c:pt idx="1">
                  <c:v>4268</c:v>
                </c:pt>
                <c:pt idx="2">
                  <c:v>5045.04</c:v>
                </c:pt>
                <c:pt idx="3">
                  <c:v>5730.2168000000011</c:v>
                </c:pt>
                <c:pt idx="4">
                  <c:v>5290.6213360000002</c:v>
                </c:pt>
                <c:pt idx="5">
                  <c:v>6475.49214312</c:v>
                </c:pt>
                <c:pt idx="6">
                  <c:v>5774.1841261104009</c:v>
                </c:pt>
                <c:pt idx="7">
                  <c:v>6869.2020654216976</c:v>
                </c:pt>
                <c:pt idx="8">
                  <c:v>4747.525880309373</c:v>
                </c:pt>
                <c:pt idx="9">
                  <c:v>5174.8032095372164</c:v>
                </c:pt>
                <c:pt idx="10">
                  <c:v>6335.0985346848274</c:v>
                </c:pt>
                <c:pt idx="11">
                  <c:v>5965.9309222319716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91-40A7-A0D1-8417B9A9121E}"/>
            </c:ext>
          </c:extLst>
        </c:ser>
        <c:ser>
          <c:idx val="5"/>
          <c:order val="5"/>
          <c:tx>
            <c:strRef>
              <c:f>'05_Client_Profitability_Analysi'!$I$27:$I$29</c:f>
              <c:strCache>
                <c:ptCount val="3"/>
                <c:pt idx="0">
                  <c:v>Monthly Revenue and COGS breakdown for ALDI and KAUFLAND</c:v>
                </c:pt>
                <c:pt idx="1">
                  <c:v>Kaufland</c:v>
                </c:pt>
                <c:pt idx="2">
                  <c:v>KAUFLAND COGS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'05_Client_Profitability_Analysi'!$C$30:$C$41</c:f>
              <c:numCache>
                <c:formatCode>mmm\-yy</c:formatCode>
                <c:ptCount val="12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</c:numCache>
            </c:numRef>
          </c:cat>
          <c:val>
            <c:numRef>
              <c:f>'05_Client_Profitability_Analysi'!$I$30:$I$41</c:f>
              <c:numCache>
                <c:formatCode>"£"#,##0</c:formatCode>
                <c:ptCount val="12"/>
                <c:pt idx="0">
                  <c:v>2569.3200000000002</c:v>
                </c:pt>
                <c:pt idx="1">
                  <c:v>2577.4452000000006</c:v>
                </c:pt>
                <c:pt idx="2">
                  <c:v>2955.2986663200004</c:v>
                </c:pt>
                <c:pt idx="3">
                  <c:v>3255.9636801217689</c:v>
                </c:pt>
                <c:pt idx="4">
                  <c:v>2946.0577297856239</c:v>
                </c:pt>
                <c:pt idx="5">
                  <c:v>3750.081393029966</c:v>
                </c:pt>
                <c:pt idx="6">
                  <c:v>3377.3799075649467</c:v>
                </c:pt>
                <c:pt idx="7">
                  <c:v>4098.2245492463198</c:v>
                </c:pt>
                <c:pt idx="8">
                  <c:v>2775.7661497002796</c:v>
                </c:pt>
                <c:pt idx="9">
                  <c:v>3125.0636582395255</c:v>
                </c:pt>
                <c:pt idx="10">
                  <c:v>3527.6699695110847</c:v>
                </c:pt>
                <c:pt idx="11">
                  <c:v>3630.5117855577018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C91-40A7-A0D1-8417B9A9121E}"/>
            </c:ext>
          </c:extLst>
        </c:ser>
        <c:ser>
          <c:idx val="6"/>
          <c:order val="6"/>
          <c:tx>
            <c:strRef>
              <c:f>'05_Client_Profitability_Analysi'!$J$27:$J$29</c:f>
              <c:strCache>
                <c:ptCount val="3"/>
                <c:pt idx="0">
                  <c:v>Monthly Revenue and COGS breakdown for ALDI and KAUFLAND</c:v>
                </c:pt>
                <c:pt idx="1">
                  <c:v>Kaufland</c:v>
                </c:pt>
                <c:pt idx="2">
                  <c:v>Gross Profit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'05_Client_Profitability_Analysi'!$C$30:$C$41</c:f>
              <c:numCache>
                <c:formatCode>mmm\-yy</c:formatCode>
                <c:ptCount val="12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</c:numCache>
            </c:numRef>
          </c:cat>
          <c:val>
            <c:numRef>
              <c:f>'05_Client_Profitability_Analysi'!$J$30:$J$41</c:f>
              <c:numCache>
                <c:formatCode>"£"#,##0</c:formatCode>
                <c:ptCount val="12"/>
                <c:pt idx="0">
                  <c:v>2110.6799999999998</c:v>
                </c:pt>
                <c:pt idx="1">
                  <c:v>1690.5547999999994</c:v>
                </c:pt>
                <c:pt idx="2">
                  <c:v>2089.7413336799996</c:v>
                </c:pt>
                <c:pt idx="3">
                  <c:v>2474.2531198782322</c:v>
                </c:pt>
                <c:pt idx="4">
                  <c:v>2344.5636062143763</c:v>
                </c:pt>
                <c:pt idx="5">
                  <c:v>2725.4107500900341</c:v>
                </c:pt>
                <c:pt idx="6">
                  <c:v>2396.8042185454542</c:v>
                </c:pt>
                <c:pt idx="7">
                  <c:v>2770.9775161753778</c:v>
                </c:pt>
                <c:pt idx="8">
                  <c:v>1971.7597306090934</c:v>
                </c:pt>
                <c:pt idx="9">
                  <c:v>2049.7395512976909</c:v>
                </c:pt>
                <c:pt idx="10">
                  <c:v>2807.4285651737428</c:v>
                </c:pt>
                <c:pt idx="11">
                  <c:v>2335.4191366742698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C91-40A7-A0D1-8417B9A9121E}"/>
            </c:ext>
          </c:extLst>
        </c:ser>
        <c:ser>
          <c:idx val="7"/>
          <c:order val="7"/>
          <c:tx>
            <c:strRef>
              <c:f>'05_Client_Profitability_Analysi'!$K$27:$K$29</c:f>
              <c:strCache>
                <c:ptCount val="3"/>
                <c:pt idx="0">
                  <c:v>Monthly Revenue and COGS breakdown for ALDI and KAUFLAND</c:v>
                </c:pt>
                <c:pt idx="1">
                  <c:v>Kaufland</c:v>
                </c:pt>
                <c:pt idx="2">
                  <c:v>GP%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'05_Client_Profitability_Analysi'!$C$30:$C$41</c:f>
              <c:numCache>
                <c:formatCode>mmm\-yy</c:formatCode>
                <c:ptCount val="12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</c:numCache>
            </c:numRef>
          </c:cat>
          <c:val>
            <c:numRef>
              <c:f>'05_Client_Profitability_Analysi'!$K$30:$K$41</c:f>
              <c:numCache>
                <c:formatCode>0%</c:formatCode>
                <c:ptCount val="12"/>
                <c:pt idx="0">
                  <c:v>0.45099999999999996</c:v>
                </c:pt>
                <c:pt idx="1">
                  <c:v>0.39609999999999984</c:v>
                </c:pt>
                <c:pt idx="2">
                  <c:v>0.41421699999999989</c:v>
                </c:pt>
                <c:pt idx="3">
                  <c:v>0.43179048999999997</c:v>
                </c:pt>
                <c:pt idx="4">
                  <c:v>0.44315468019999987</c:v>
                </c:pt>
                <c:pt idx="5">
                  <c:v>0.42088086740799996</c:v>
                </c:pt>
                <c:pt idx="6">
                  <c:v>0.41508967608207997</c:v>
                </c:pt>
                <c:pt idx="7">
                  <c:v>0.40339146960372152</c:v>
                </c:pt>
                <c:pt idx="8">
                  <c:v>0.41532364021164714</c:v>
                </c:pt>
                <c:pt idx="9">
                  <c:v>0.3960999999999999</c:v>
                </c:pt>
                <c:pt idx="10">
                  <c:v>0.44315468019999993</c:v>
                </c:pt>
                <c:pt idx="11">
                  <c:v>0.3914592989957959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C91-40A7-A0D1-8417B9A91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7059440"/>
        <c:axId val="927048880"/>
      </c:lineChart>
      <c:dateAx>
        <c:axId val="9270594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048880"/>
        <c:crosses val="autoZero"/>
        <c:auto val="1"/>
        <c:lblOffset val="100"/>
        <c:baseTimeUnit val="months"/>
      </c:dateAx>
      <c:valAx>
        <c:axId val="92704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05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600073</xdr:colOff>
      <xdr:row>4</xdr:row>
      <xdr:rowOff>134937</xdr:rowOff>
    </xdr:from>
    <xdr:to>
      <xdr:col>19</xdr:col>
      <xdr:colOff>322169</xdr:colOff>
      <xdr:row>30</xdr:row>
      <xdr:rowOff>103187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AF3A8A-F432-4080-A626-8AECD50088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7812</xdr:colOff>
      <xdr:row>6</xdr:row>
      <xdr:rowOff>144746</xdr:rowOff>
    </xdr:from>
    <xdr:to>
      <xdr:col>20</xdr:col>
      <xdr:colOff>602434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A90B1F-F08E-4E47-A58F-CE59BC4F0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471223</xdr:colOff>
      <xdr:row>4</xdr:row>
      <xdr:rowOff>34132</xdr:rowOff>
    </xdr:from>
    <xdr:to>
      <xdr:col>18</xdr:col>
      <xdr:colOff>553773</xdr:colOff>
      <xdr:row>22</xdr:row>
      <xdr:rowOff>141553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E223F-2314-41ED-A429-0FAE41D149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14DC0-7E4E-47DA-9092-CD63900B40A9}">
  <dimension ref="A1:M33"/>
  <sheetViews>
    <sheetView showGridLines="0" workbookViewId="0">
      <pane ySplit="1" topLeftCell="A4" activePane="bottomLeft" state="frozen"/>
      <selection pane="bottomLeft" activeCell="M5" sqref="M5"/>
    </sheetView>
  </sheetViews>
  <sheetFormatPr defaultRowHeight="14.5" x14ac:dyDescent="0.35"/>
  <cols>
    <col min="1" max="1" width="3.81640625" customWidth="1"/>
    <col min="2" max="2" width="7.81640625" customWidth="1"/>
    <col min="3" max="3" width="10.7265625" customWidth="1"/>
    <col min="8" max="8" width="10.90625" customWidth="1"/>
  </cols>
  <sheetData>
    <row r="1" spans="1:13" ht="18.5" x14ac:dyDescent="0.45">
      <c r="A1" s="2"/>
      <c r="B1" s="3" t="s">
        <v>0</v>
      </c>
      <c r="C1" s="3"/>
      <c r="D1" s="4"/>
      <c r="E1" s="1"/>
    </row>
    <row r="5" spans="1:13" x14ac:dyDescent="0.35">
      <c r="A5" s="7"/>
      <c r="B5" s="7" t="s">
        <v>1</v>
      </c>
      <c r="C5" s="7"/>
    </row>
    <row r="7" spans="1:13" x14ac:dyDescent="0.35">
      <c r="B7" s="11"/>
      <c r="C7" s="11" t="s">
        <v>4</v>
      </c>
      <c r="D7" s="11"/>
      <c r="E7" s="11"/>
      <c r="F7" s="11"/>
      <c r="G7" s="11"/>
      <c r="H7" s="11"/>
    </row>
    <row r="8" spans="1:13" x14ac:dyDescent="0.35">
      <c r="L8" s="5"/>
    </row>
    <row r="10" spans="1:13" ht="16" x14ac:dyDescent="0.4">
      <c r="A10" s="6"/>
      <c r="B10" s="9" t="s">
        <v>2</v>
      </c>
      <c r="C10" s="6"/>
    </row>
    <row r="12" spans="1:13" x14ac:dyDescent="0.35">
      <c r="B12" s="10"/>
      <c r="C12" s="10" t="s">
        <v>3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5" spans="1:13" ht="15.5" x14ac:dyDescent="0.35">
      <c r="A15" s="13"/>
      <c r="B15" s="7" t="s">
        <v>5</v>
      </c>
      <c r="C15" s="13"/>
    </row>
    <row r="17" spans="1:5" x14ac:dyDescent="0.35">
      <c r="B17" s="10"/>
      <c r="C17" s="10" t="s">
        <v>6</v>
      </c>
      <c r="D17" s="10"/>
      <c r="E17" s="8"/>
    </row>
    <row r="18" spans="1:5" x14ac:dyDescent="0.35">
      <c r="B18" s="10"/>
      <c r="C18" s="10" t="s">
        <v>7</v>
      </c>
      <c r="D18" s="10"/>
      <c r="E18" s="8"/>
    </row>
    <row r="19" spans="1:5" x14ac:dyDescent="0.35">
      <c r="B19" s="10"/>
      <c r="C19" s="10" t="s">
        <v>8</v>
      </c>
      <c r="D19" s="10"/>
      <c r="E19" s="8"/>
    </row>
    <row r="20" spans="1:5" x14ac:dyDescent="0.35">
      <c r="B20" s="10"/>
      <c r="C20" s="10" t="s">
        <v>9</v>
      </c>
      <c r="D20" s="10"/>
      <c r="E20" s="8"/>
    </row>
    <row r="21" spans="1:5" x14ac:dyDescent="0.35">
      <c r="B21" s="10"/>
      <c r="C21" s="10" t="s">
        <v>10</v>
      </c>
      <c r="D21" s="10"/>
      <c r="E21" s="8"/>
    </row>
    <row r="22" spans="1:5" x14ac:dyDescent="0.35">
      <c r="B22" s="10"/>
      <c r="C22" s="10"/>
      <c r="D22" s="10"/>
      <c r="E22" s="8"/>
    </row>
    <row r="23" spans="1:5" x14ac:dyDescent="0.35">
      <c r="B23" s="8"/>
      <c r="C23" s="8"/>
      <c r="D23" s="8"/>
      <c r="E23" s="8"/>
    </row>
    <row r="25" spans="1:5" x14ac:dyDescent="0.35">
      <c r="A25" s="12"/>
      <c r="B25" s="7" t="s">
        <v>11</v>
      </c>
      <c r="C25" s="12"/>
    </row>
    <row r="27" spans="1:5" ht="15.5" x14ac:dyDescent="0.45">
      <c r="B27" s="14"/>
      <c r="C27" s="14" t="s">
        <v>12</v>
      </c>
      <c r="D27" s="14"/>
      <c r="E27" s="14"/>
    </row>
    <row r="28" spans="1:5" ht="15.5" x14ac:dyDescent="0.45">
      <c r="B28" s="14"/>
      <c r="C28" s="14" t="s">
        <v>13</v>
      </c>
      <c r="D28" s="14"/>
      <c r="E28" s="14"/>
    </row>
    <row r="29" spans="1:5" ht="15.5" x14ac:dyDescent="0.45">
      <c r="B29" s="14"/>
      <c r="C29" s="14" t="s">
        <v>14</v>
      </c>
      <c r="D29" s="14"/>
      <c r="E29" s="14"/>
    </row>
    <row r="30" spans="1:5" ht="15.5" x14ac:dyDescent="0.45">
      <c r="B30" s="14"/>
      <c r="C30" s="14" t="s">
        <v>15</v>
      </c>
      <c r="D30" s="14"/>
      <c r="E30" s="14"/>
    </row>
    <row r="31" spans="1:5" ht="15.5" x14ac:dyDescent="0.45">
      <c r="B31" s="14"/>
      <c r="C31" s="14" t="s">
        <v>16</v>
      </c>
      <c r="D31" s="14"/>
      <c r="E31" s="14"/>
    </row>
    <row r="32" spans="1:5" ht="15.5" x14ac:dyDescent="0.45">
      <c r="B32" s="14"/>
      <c r="C32" s="14"/>
      <c r="D32" s="14"/>
      <c r="E32" s="14"/>
    </row>
    <row r="33" spans="2:5" ht="15.5" x14ac:dyDescent="0.45">
      <c r="B33" s="14"/>
      <c r="C33" s="14"/>
      <c r="D33" s="14"/>
      <c r="E33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C9567-C917-40E0-9ECA-6DAFC3766F54}">
  <dimension ref="B1:O197"/>
  <sheetViews>
    <sheetView workbookViewId="0">
      <pane ySplit="1" topLeftCell="A2" activePane="bottomLeft" state="frozen"/>
      <selection pane="bottomLeft" activeCell="H7" sqref="H7"/>
    </sheetView>
  </sheetViews>
  <sheetFormatPr defaultColWidth="9.1796875" defaultRowHeight="11.5" x14ac:dyDescent="0.25"/>
  <cols>
    <col min="1" max="1" width="2" style="15" customWidth="1"/>
    <col min="2" max="2" width="17.453125" style="15" customWidth="1"/>
    <col min="3" max="8" width="14.7265625" style="15" customWidth="1"/>
    <col min="9" max="9" width="11.7265625" style="15" customWidth="1"/>
    <col min="10" max="16384" width="9.1796875" style="15"/>
  </cols>
  <sheetData>
    <row r="1" spans="2:13" ht="15.5" x14ac:dyDescent="0.35">
      <c r="B1" s="22" t="s">
        <v>62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3" spans="2:13" ht="12" thickBot="1" x14ac:dyDescent="0.3">
      <c r="B3" s="21" t="s">
        <v>39</v>
      </c>
      <c r="C3" s="21" t="s">
        <v>38</v>
      </c>
      <c r="D3" s="21" t="s">
        <v>37</v>
      </c>
      <c r="E3" s="21" t="s">
        <v>36</v>
      </c>
      <c r="F3" s="21" t="s">
        <v>35</v>
      </c>
    </row>
    <row r="4" spans="2:13" x14ac:dyDescent="0.25">
      <c r="B4" s="18">
        <v>42005</v>
      </c>
      <c r="C4" s="15" t="s">
        <v>27</v>
      </c>
      <c r="D4" s="15" t="s">
        <v>34</v>
      </c>
      <c r="E4" s="17">
        <v>4680</v>
      </c>
      <c r="F4" s="16">
        <v>2569.3200000000002</v>
      </c>
      <c r="H4" s="16"/>
      <c r="M4" s="19"/>
    </row>
    <row r="5" spans="2:13" x14ac:dyDescent="0.25">
      <c r="B5" s="18">
        <v>42005</v>
      </c>
      <c r="C5" s="15" t="s">
        <v>27</v>
      </c>
      <c r="D5" s="15" t="s">
        <v>33</v>
      </c>
      <c r="E5" s="17">
        <v>2600</v>
      </c>
      <c r="F5" s="16">
        <v>1391</v>
      </c>
      <c r="M5" s="19"/>
    </row>
    <row r="6" spans="2:13" x14ac:dyDescent="0.25">
      <c r="B6" s="18">
        <v>42005</v>
      </c>
      <c r="C6" s="15" t="s">
        <v>27</v>
      </c>
      <c r="D6" s="15" t="s">
        <v>32</v>
      </c>
      <c r="E6" s="17">
        <v>3040</v>
      </c>
      <c r="F6" s="16">
        <v>1605.1200000000001</v>
      </c>
      <c r="M6" s="19"/>
    </row>
    <row r="7" spans="2:13" x14ac:dyDescent="0.25">
      <c r="B7" s="18">
        <v>42005</v>
      </c>
      <c r="C7" s="15" t="s">
        <v>27</v>
      </c>
      <c r="D7" s="15" t="s">
        <v>31</v>
      </c>
      <c r="E7" s="17">
        <v>1800</v>
      </c>
      <c r="F7" s="16">
        <v>882</v>
      </c>
      <c r="M7" s="19"/>
    </row>
    <row r="8" spans="2:13" x14ac:dyDescent="0.25">
      <c r="B8" s="18">
        <v>42005</v>
      </c>
      <c r="C8" s="15" t="s">
        <v>27</v>
      </c>
      <c r="D8" s="15" t="s">
        <v>30</v>
      </c>
      <c r="E8" s="17">
        <v>2839.9999999999995</v>
      </c>
      <c r="F8" s="16">
        <v>1533.6</v>
      </c>
      <c r="M8" s="19"/>
    </row>
    <row r="9" spans="2:13" x14ac:dyDescent="0.25">
      <c r="B9" s="18">
        <v>42005</v>
      </c>
      <c r="C9" s="15" t="s">
        <v>27</v>
      </c>
      <c r="D9" s="15" t="s">
        <v>29</v>
      </c>
      <c r="E9" s="17">
        <v>3320</v>
      </c>
      <c r="F9" s="16">
        <v>1593.6</v>
      </c>
      <c r="M9" s="19"/>
    </row>
    <row r="10" spans="2:13" x14ac:dyDescent="0.25">
      <c r="B10" s="18">
        <v>42005</v>
      </c>
      <c r="C10" s="15" t="s">
        <v>27</v>
      </c>
      <c r="D10" s="15" t="s">
        <v>28</v>
      </c>
      <c r="E10" s="17">
        <v>3120</v>
      </c>
      <c r="F10" s="16">
        <v>1404</v>
      </c>
      <c r="M10" s="19"/>
    </row>
    <row r="11" spans="2:13" x14ac:dyDescent="0.25">
      <c r="B11" s="18">
        <v>42005</v>
      </c>
      <c r="C11" s="15" t="s">
        <v>27</v>
      </c>
      <c r="D11" s="15" t="s">
        <v>26</v>
      </c>
      <c r="E11" s="17">
        <v>3360</v>
      </c>
      <c r="F11" s="16">
        <v>1811.0400000000002</v>
      </c>
      <c r="M11" s="19"/>
    </row>
    <row r="12" spans="2:13" x14ac:dyDescent="0.25">
      <c r="B12" s="18">
        <v>42005</v>
      </c>
      <c r="C12" s="15" t="s">
        <v>22</v>
      </c>
      <c r="D12" s="15" t="s">
        <v>25</v>
      </c>
      <c r="E12" s="17">
        <v>1520</v>
      </c>
      <c r="F12" s="16">
        <v>820.80000000000007</v>
      </c>
    </row>
    <row r="13" spans="2:13" x14ac:dyDescent="0.25">
      <c r="B13" s="18">
        <v>42005</v>
      </c>
      <c r="C13" s="15" t="s">
        <v>22</v>
      </c>
      <c r="D13" s="15" t="s">
        <v>24</v>
      </c>
      <c r="E13" s="17">
        <v>440</v>
      </c>
      <c r="F13" s="16">
        <v>268.39999999999998</v>
      </c>
      <c r="M13" s="19"/>
    </row>
    <row r="14" spans="2:13" x14ac:dyDescent="0.25">
      <c r="B14" s="18">
        <v>42005</v>
      </c>
      <c r="C14" s="15" t="s">
        <v>22</v>
      </c>
      <c r="D14" s="15" t="s">
        <v>23</v>
      </c>
      <c r="E14" s="17">
        <v>760</v>
      </c>
      <c r="F14" s="16">
        <v>418.00000000000006</v>
      </c>
      <c r="M14" s="19"/>
    </row>
    <row r="15" spans="2:13" x14ac:dyDescent="0.25">
      <c r="B15" s="18">
        <v>42005</v>
      </c>
      <c r="C15" s="15" t="s">
        <v>22</v>
      </c>
      <c r="D15" s="15" t="s">
        <v>21</v>
      </c>
      <c r="E15" s="17">
        <v>1800</v>
      </c>
      <c r="F15" s="16">
        <v>936</v>
      </c>
      <c r="M15" s="19"/>
    </row>
    <row r="16" spans="2:13" x14ac:dyDescent="0.25">
      <c r="B16" s="18">
        <v>42005</v>
      </c>
      <c r="C16" s="15" t="s">
        <v>17</v>
      </c>
      <c r="D16" s="15" t="s">
        <v>20</v>
      </c>
      <c r="E16" s="17">
        <v>2960</v>
      </c>
      <c r="F16" s="16">
        <v>1036</v>
      </c>
      <c r="M16" s="19"/>
    </row>
    <row r="17" spans="2:15" x14ac:dyDescent="0.25">
      <c r="B17" s="18">
        <v>42005</v>
      </c>
      <c r="C17" s="15" t="s">
        <v>17</v>
      </c>
      <c r="D17" s="15" t="s">
        <v>19</v>
      </c>
      <c r="E17" s="17">
        <v>4640</v>
      </c>
      <c r="F17" s="16">
        <v>2041.6</v>
      </c>
    </row>
    <row r="18" spans="2:15" x14ac:dyDescent="0.25">
      <c r="B18" s="18">
        <v>42005</v>
      </c>
      <c r="C18" s="15" t="s">
        <v>17</v>
      </c>
      <c r="D18" s="15" t="s">
        <v>18</v>
      </c>
      <c r="E18" s="17">
        <v>840</v>
      </c>
      <c r="F18" s="16">
        <v>352.8</v>
      </c>
      <c r="M18" s="19"/>
    </row>
    <row r="19" spans="2:15" x14ac:dyDescent="0.25">
      <c r="B19" s="18">
        <v>42005</v>
      </c>
      <c r="C19" s="15" t="s">
        <v>17</v>
      </c>
      <c r="D19" s="15" t="s">
        <v>17</v>
      </c>
      <c r="E19" s="17">
        <v>2280</v>
      </c>
      <c r="F19" s="16">
        <v>889.2</v>
      </c>
      <c r="M19" s="19"/>
    </row>
    <row r="20" spans="2:15" ht="14.5" x14ac:dyDescent="0.35">
      <c r="B20" s="18">
        <v>42036</v>
      </c>
      <c r="C20" s="15" t="s">
        <v>27</v>
      </c>
      <c r="D20" s="15" t="s">
        <v>34</v>
      </c>
      <c r="E20" s="17">
        <v>4268</v>
      </c>
      <c r="F20" s="16">
        <v>2577.4452000000006</v>
      </c>
      <c r="M20" s="19"/>
      <c r="O20" s="20"/>
    </row>
    <row r="21" spans="2:15" x14ac:dyDescent="0.25">
      <c r="B21" s="18">
        <v>42036</v>
      </c>
      <c r="C21" s="15" t="s">
        <v>27</v>
      </c>
      <c r="D21" s="15" t="s">
        <v>33</v>
      </c>
      <c r="E21" s="17">
        <v>1980</v>
      </c>
      <c r="F21" s="16">
        <v>1101.672</v>
      </c>
      <c r="M21" s="19"/>
    </row>
    <row r="22" spans="2:15" x14ac:dyDescent="0.25">
      <c r="B22" s="18">
        <v>42036</v>
      </c>
      <c r="C22" s="15" t="s">
        <v>27</v>
      </c>
      <c r="D22" s="15" t="s">
        <v>32</v>
      </c>
      <c r="E22" s="17">
        <v>3783.9999999999995</v>
      </c>
      <c r="F22" s="16">
        <v>1818.1363199999998</v>
      </c>
    </row>
    <row r="23" spans="2:15" x14ac:dyDescent="0.25">
      <c r="B23" s="18">
        <v>42036</v>
      </c>
      <c r="C23" s="15" t="s">
        <v>27</v>
      </c>
      <c r="D23" s="15" t="s">
        <v>31</v>
      </c>
      <c r="E23" s="17">
        <v>2420</v>
      </c>
      <c r="F23" s="16">
        <v>1114.6519999999998</v>
      </c>
    </row>
    <row r="24" spans="2:15" x14ac:dyDescent="0.25">
      <c r="B24" s="18">
        <v>42036</v>
      </c>
      <c r="C24" s="15" t="s">
        <v>27</v>
      </c>
      <c r="D24" s="15" t="s">
        <v>30</v>
      </c>
      <c r="E24" s="17">
        <v>924</v>
      </c>
      <c r="F24" s="16">
        <v>488.98079999999999</v>
      </c>
    </row>
    <row r="25" spans="2:15" x14ac:dyDescent="0.25">
      <c r="B25" s="18">
        <v>42036</v>
      </c>
      <c r="C25" s="15" t="s">
        <v>27</v>
      </c>
      <c r="D25" s="15" t="s">
        <v>29</v>
      </c>
      <c r="E25" s="17">
        <v>3652</v>
      </c>
      <c r="F25" s="16">
        <v>1893.1967999999999</v>
      </c>
    </row>
    <row r="26" spans="2:15" x14ac:dyDescent="0.25">
      <c r="B26" s="18">
        <v>42036</v>
      </c>
      <c r="C26" s="15" t="s">
        <v>27</v>
      </c>
      <c r="D26" s="15" t="s">
        <v>28</v>
      </c>
      <c r="E26" s="17">
        <v>3652</v>
      </c>
      <c r="F26" s="16">
        <v>1725.5700000000002</v>
      </c>
    </row>
    <row r="27" spans="2:15" x14ac:dyDescent="0.25">
      <c r="B27" s="18">
        <v>42036</v>
      </c>
      <c r="C27" s="15" t="s">
        <v>27</v>
      </c>
      <c r="D27" s="15" t="s">
        <v>26</v>
      </c>
      <c r="E27" s="17">
        <v>3916</v>
      </c>
      <c r="F27" s="16">
        <v>2279.5819200000005</v>
      </c>
    </row>
    <row r="28" spans="2:15" x14ac:dyDescent="0.25">
      <c r="B28" s="18">
        <v>42036</v>
      </c>
      <c r="C28" s="15" t="s">
        <v>22</v>
      </c>
      <c r="D28" s="15" t="s">
        <v>25</v>
      </c>
      <c r="E28" s="17">
        <v>2112</v>
      </c>
      <c r="F28" s="16">
        <v>1197.5040000000001</v>
      </c>
    </row>
    <row r="29" spans="2:15" x14ac:dyDescent="0.25">
      <c r="B29" s="18">
        <v>42036</v>
      </c>
      <c r="C29" s="15" t="s">
        <v>22</v>
      </c>
      <c r="D29" s="15" t="s">
        <v>24</v>
      </c>
      <c r="E29" s="17">
        <v>924</v>
      </c>
      <c r="F29" s="16">
        <v>591.822</v>
      </c>
    </row>
    <row r="30" spans="2:15" x14ac:dyDescent="0.25">
      <c r="B30" s="18">
        <v>42036</v>
      </c>
      <c r="C30" s="15" t="s">
        <v>22</v>
      </c>
      <c r="D30" s="15" t="s">
        <v>23</v>
      </c>
      <c r="E30" s="17">
        <v>1716</v>
      </c>
      <c r="F30" s="16">
        <v>953.23800000000017</v>
      </c>
    </row>
    <row r="31" spans="2:15" x14ac:dyDescent="0.25">
      <c r="B31" s="18">
        <v>42036</v>
      </c>
      <c r="C31" s="15" t="s">
        <v>22</v>
      </c>
      <c r="D31" s="15" t="s">
        <v>21</v>
      </c>
      <c r="E31" s="17">
        <v>1100</v>
      </c>
      <c r="F31" s="16">
        <v>566.28000000000009</v>
      </c>
    </row>
    <row r="32" spans="2:15" x14ac:dyDescent="0.25">
      <c r="B32" s="18">
        <v>42036</v>
      </c>
      <c r="C32" s="15" t="s">
        <v>17</v>
      </c>
      <c r="D32" s="15" t="s">
        <v>20</v>
      </c>
      <c r="E32" s="17">
        <v>1936</v>
      </c>
      <c r="F32" s="16">
        <v>745.36</v>
      </c>
    </row>
    <row r="33" spans="2:6" x14ac:dyDescent="0.25">
      <c r="B33" s="18">
        <v>42036</v>
      </c>
      <c r="C33" s="15" t="s">
        <v>17</v>
      </c>
      <c r="D33" s="15" t="s">
        <v>19</v>
      </c>
      <c r="E33" s="17">
        <v>6424</v>
      </c>
      <c r="F33" s="16">
        <v>2770.0288</v>
      </c>
    </row>
    <row r="34" spans="2:6" x14ac:dyDescent="0.25">
      <c r="B34" s="18">
        <v>42036</v>
      </c>
      <c r="C34" s="15" t="s">
        <v>17</v>
      </c>
      <c r="D34" s="15" t="s">
        <v>18</v>
      </c>
      <c r="E34" s="17">
        <v>1804</v>
      </c>
      <c r="F34" s="16">
        <v>780.41039999999998</v>
      </c>
    </row>
    <row r="35" spans="2:6" x14ac:dyDescent="0.25">
      <c r="B35" s="18">
        <v>42036</v>
      </c>
      <c r="C35" s="15" t="s">
        <v>17</v>
      </c>
      <c r="D35" s="15" t="s">
        <v>17</v>
      </c>
      <c r="E35" s="17">
        <v>3388</v>
      </c>
      <c r="F35" s="16">
        <v>1374.1728000000001</v>
      </c>
    </row>
    <row r="36" spans="2:6" x14ac:dyDescent="0.25">
      <c r="B36" s="18">
        <v>42064</v>
      </c>
      <c r="C36" s="15" t="s">
        <v>27</v>
      </c>
      <c r="D36" s="15" t="s">
        <v>34</v>
      </c>
      <c r="E36" s="17">
        <v>5045.04</v>
      </c>
      <c r="F36" s="16">
        <v>2955.2986663200004</v>
      </c>
    </row>
    <row r="37" spans="2:6" x14ac:dyDescent="0.25">
      <c r="B37" s="18">
        <v>42064</v>
      </c>
      <c r="C37" s="15" t="s">
        <v>27</v>
      </c>
      <c r="D37" s="15" t="s">
        <v>33</v>
      </c>
      <c r="E37" s="17">
        <v>2802.8</v>
      </c>
      <c r="F37" s="16">
        <v>1621.8570368000003</v>
      </c>
    </row>
    <row r="38" spans="2:6" x14ac:dyDescent="0.25">
      <c r="B38" s="18">
        <v>42064</v>
      </c>
      <c r="C38" s="15" t="s">
        <v>27</v>
      </c>
      <c r="D38" s="15" t="s">
        <v>32</v>
      </c>
      <c r="E38" s="17">
        <v>4570.72</v>
      </c>
      <c r="F38" s="16">
        <v>2240.062336512</v>
      </c>
    </row>
    <row r="39" spans="2:6" x14ac:dyDescent="0.25">
      <c r="B39" s="18">
        <v>42064</v>
      </c>
      <c r="C39" s="15" t="s">
        <v>27</v>
      </c>
      <c r="D39" s="15" t="s">
        <v>31</v>
      </c>
      <c r="E39" s="17">
        <v>2285.36</v>
      </c>
      <c r="F39" s="16">
        <v>1031.5840796800001</v>
      </c>
    </row>
    <row r="40" spans="2:6" x14ac:dyDescent="0.25">
      <c r="B40" s="18">
        <v>42064</v>
      </c>
      <c r="C40" s="15" t="s">
        <v>27</v>
      </c>
      <c r="D40" s="15" t="s">
        <v>30</v>
      </c>
      <c r="E40" s="17">
        <v>1121.1199999999999</v>
      </c>
      <c r="F40" s="16">
        <v>581.43076991999988</v>
      </c>
    </row>
    <row r="41" spans="2:6" x14ac:dyDescent="0.25">
      <c r="B41" s="18">
        <v>42064</v>
      </c>
      <c r="C41" s="15" t="s">
        <v>27</v>
      </c>
      <c r="D41" s="15" t="s">
        <v>29</v>
      </c>
      <c r="E41" s="17">
        <v>3492.72</v>
      </c>
      <c r="F41" s="16">
        <v>1792.5197875199999</v>
      </c>
    </row>
    <row r="42" spans="2:6" x14ac:dyDescent="0.25">
      <c r="B42" s="18">
        <v>42064</v>
      </c>
      <c r="C42" s="15" t="s">
        <v>27</v>
      </c>
      <c r="D42" s="15" t="s">
        <v>28</v>
      </c>
      <c r="E42" s="17">
        <v>3492.72</v>
      </c>
      <c r="F42" s="16">
        <v>1683.3164040000001</v>
      </c>
    </row>
    <row r="43" spans="2:6" x14ac:dyDescent="0.25">
      <c r="B43" s="18">
        <v>42064</v>
      </c>
      <c r="C43" s="15" t="s">
        <v>27</v>
      </c>
      <c r="D43" s="15" t="s">
        <v>26</v>
      </c>
      <c r="E43" s="17">
        <v>3018.4000000000005</v>
      </c>
      <c r="F43" s="16">
        <v>1721.9295878400003</v>
      </c>
    </row>
    <row r="44" spans="2:6" x14ac:dyDescent="0.25">
      <c r="B44" s="18">
        <v>42064</v>
      </c>
      <c r="C44" s="15" t="s">
        <v>22</v>
      </c>
      <c r="D44" s="15" t="s">
        <v>25</v>
      </c>
      <c r="E44" s="17">
        <v>2500.96</v>
      </c>
      <c r="F44" s="16">
        <v>1432.2247632000001</v>
      </c>
    </row>
    <row r="45" spans="2:6" x14ac:dyDescent="0.25">
      <c r="B45" s="18">
        <v>42064</v>
      </c>
      <c r="C45" s="15" t="s">
        <v>22</v>
      </c>
      <c r="D45" s="15" t="s">
        <v>24</v>
      </c>
      <c r="E45" s="17">
        <v>474.32</v>
      </c>
      <c r="F45" s="16">
        <v>312.91601879999996</v>
      </c>
    </row>
    <row r="46" spans="2:6" x14ac:dyDescent="0.25">
      <c r="B46" s="18">
        <v>42064</v>
      </c>
      <c r="C46" s="15" t="s">
        <v>22</v>
      </c>
      <c r="D46" s="15" t="s">
        <v>23</v>
      </c>
      <c r="E46" s="17">
        <v>1250.48</v>
      </c>
      <c r="F46" s="16">
        <v>701.58805640000014</v>
      </c>
    </row>
    <row r="47" spans="2:6" x14ac:dyDescent="0.25">
      <c r="B47" s="18">
        <v>42064</v>
      </c>
      <c r="C47" s="15" t="s">
        <v>22</v>
      </c>
      <c r="D47" s="15" t="s">
        <v>21</v>
      </c>
      <c r="E47" s="17">
        <v>646.79999999999995</v>
      </c>
      <c r="F47" s="16">
        <v>342.96181919999998</v>
      </c>
    </row>
    <row r="48" spans="2:6" x14ac:dyDescent="0.25">
      <c r="B48" s="18">
        <v>42064</v>
      </c>
      <c r="C48" s="15" t="s">
        <v>17</v>
      </c>
      <c r="D48" s="15" t="s">
        <v>20</v>
      </c>
      <c r="E48" s="17">
        <v>1897.28</v>
      </c>
      <c r="F48" s="16">
        <v>759.67091200000004</v>
      </c>
    </row>
    <row r="49" spans="2:6" x14ac:dyDescent="0.25">
      <c r="B49" s="18">
        <v>42064</v>
      </c>
      <c r="C49" s="15" t="s">
        <v>17</v>
      </c>
      <c r="D49" s="15" t="s">
        <v>19</v>
      </c>
      <c r="E49" s="17">
        <v>5001.92</v>
      </c>
      <c r="F49" s="16">
        <v>2243.1010201600002</v>
      </c>
    </row>
    <row r="50" spans="2:6" x14ac:dyDescent="0.25">
      <c r="B50" s="18">
        <v>42064</v>
      </c>
      <c r="C50" s="15" t="s">
        <v>17</v>
      </c>
      <c r="D50" s="15" t="s">
        <v>18</v>
      </c>
      <c r="E50" s="17">
        <v>1336.72</v>
      </c>
      <c r="F50" s="16">
        <v>595.61302416000001</v>
      </c>
    </row>
    <row r="51" spans="2:6" x14ac:dyDescent="0.25">
      <c r="B51" s="18">
        <v>42064</v>
      </c>
      <c r="C51" s="15" t="s">
        <v>17</v>
      </c>
      <c r="D51" s="15" t="s">
        <v>17</v>
      </c>
      <c r="E51" s="17">
        <v>4182.6400000000003</v>
      </c>
      <c r="F51" s="16">
        <v>1713.4435718400002</v>
      </c>
    </row>
    <row r="52" spans="2:6" x14ac:dyDescent="0.25">
      <c r="B52" s="18">
        <v>42095</v>
      </c>
      <c r="C52" s="15" t="s">
        <v>27</v>
      </c>
      <c r="D52" s="15" t="s">
        <v>34</v>
      </c>
      <c r="E52" s="17">
        <v>5730.2168000000011</v>
      </c>
      <c r="F52" s="16">
        <v>3255.9636801217689</v>
      </c>
    </row>
    <row r="53" spans="2:6" x14ac:dyDescent="0.25">
      <c r="B53" s="18">
        <v>42095</v>
      </c>
      <c r="C53" s="15" t="s">
        <v>27</v>
      </c>
      <c r="D53" s="15" t="s">
        <v>33</v>
      </c>
      <c r="E53" s="17">
        <v>3136.98</v>
      </c>
      <c r="F53" s="16">
        <v>1851.5369448576002</v>
      </c>
    </row>
    <row r="54" spans="2:6" x14ac:dyDescent="0.25">
      <c r="B54" s="18">
        <v>42095</v>
      </c>
      <c r="C54" s="15" t="s">
        <v>27</v>
      </c>
      <c r="D54" s="15" t="s">
        <v>32</v>
      </c>
      <c r="E54" s="17">
        <v>4015.3343999999997</v>
      </c>
      <c r="F54" s="16">
        <v>1987.5523662618623</v>
      </c>
    </row>
    <row r="55" spans="2:6" x14ac:dyDescent="0.25">
      <c r="B55" s="18">
        <v>42095</v>
      </c>
      <c r="C55" s="15" t="s">
        <v>27</v>
      </c>
      <c r="D55" s="15" t="s">
        <v>31</v>
      </c>
      <c r="E55" s="17">
        <v>1798.5352</v>
      </c>
      <c r="F55" s="16">
        <v>795.60046272044792</v>
      </c>
    </row>
    <row r="56" spans="2:6" x14ac:dyDescent="0.25">
      <c r="B56" s="18">
        <v>42095</v>
      </c>
      <c r="C56" s="15" t="s">
        <v>27</v>
      </c>
      <c r="D56" s="15" t="s">
        <v>30</v>
      </c>
      <c r="E56" s="17">
        <v>1505.7503999999999</v>
      </c>
      <c r="F56" s="16">
        <v>765.28812445747189</v>
      </c>
    </row>
    <row r="57" spans="2:6" x14ac:dyDescent="0.25">
      <c r="B57" s="18">
        <v>42095</v>
      </c>
      <c r="C57" s="15" t="s">
        <v>27</v>
      </c>
      <c r="D57" s="15" t="s">
        <v>29</v>
      </c>
      <c r="E57" s="17">
        <v>2969.6743999999999</v>
      </c>
      <c r="F57" s="16">
        <v>1508.8435727016958</v>
      </c>
    </row>
    <row r="58" spans="2:6" x14ac:dyDescent="0.25">
      <c r="B58" s="18">
        <v>42095</v>
      </c>
      <c r="C58" s="15" t="s">
        <v>27</v>
      </c>
      <c r="D58" s="15" t="s">
        <v>28</v>
      </c>
      <c r="E58" s="17">
        <v>1714.8824000000002</v>
      </c>
      <c r="F58" s="16">
        <v>843.01732413360014</v>
      </c>
    </row>
    <row r="59" spans="2:6" x14ac:dyDescent="0.25">
      <c r="B59" s="18">
        <v>42095</v>
      </c>
      <c r="C59" s="15" t="s">
        <v>27</v>
      </c>
      <c r="D59" s="15" t="s">
        <v>26</v>
      </c>
      <c r="E59" s="17">
        <v>1254.7919999999999</v>
      </c>
      <c r="F59" s="16">
        <v>701.51411408601598</v>
      </c>
    </row>
    <row r="60" spans="2:6" x14ac:dyDescent="0.25">
      <c r="B60" s="18">
        <v>42095</v>
      </c>
      <c r="C60" s="15" t="s">
        <v>22</v>
      </c>
      <c r="D60" s="15" t="s">
        <v>25</v>
      </c>
      <c r="E60" s="17">
        <v>2425.9312</v>
      </c>
      <c r="F60" s="16">
        <v>1430.93576091312</v>
      </c>
    </row>
    <row r="61" spans="2:6" x14ac:dyDescent="0.25">
      <c r="B61" s="18">
        <v>42095</v>
      </c>
      <c r="C61" s="15" t="s">
        <v>22</v>
      </c>
      <c r="D61" s="15" t="s">
        <v>24</v>
      </c>
      <c r="E61" s="17">
        <v>878.35440000000006</v>
      </c>
      <c r="F61" s="16">
        <v>561.71330418588002</v>
      </c>
    </row>
    <row r="62" spans="2:6" x14ac:dyDescent="0.25">
      <c r="B62" s="18">
        <v>42095</v>
      </c>
      <c r="C62" s="15" t="s">
        <v>22</v>
      </c>
      <c r="D62" s="15" t="s">
        <v>23</v>
      </c>
      <c r="E62" s="17">
        <v>2049.4936000000002</v>
      </c>
      <c r="F62" s="16">
        <v>1161.3774180654802</v>
      </c>
    </row>
    <row r="63" spans="2:6" x14ac:dyDescent="0.25">
      <c r="B63" s="18">
        <v>42095</v>
      </c>
      <c r="C63" s="15" t="s">
        <v>22</v>
      </c>
      <c r="D63" s="15" t="s">
        <v>21</v>
      </c>
      <c r="E63" s="17">
        <v>1463.9240000000002</v>
      </c>
      <c r="F63" s="16">
        <v>799.52402497968023</v>
      </c>
    </row>
    <row r="64" spans="2:6" x14ac:dyDescent="0.25">
      <c r="B64" s="18">
        <v>42095</v>
      </c>
      <c r="C64" s="15" t="s">
        <v>17</v>
      </c>
      <c r="D64" s="15" t="s">
        <v>20</v>
      </c>
      <c r="E64" s="17">
        <v>3513.4176000000002</v>
      </c>
      <c r="F64" s="16">
        <v>1463.0433033216002</v>
      </c>
    </row>
    <row r="65" spans="2:6" x14ac:dyDescent="0.25">
      <c r="B65" s="18">
        <v>42095</v>
      </c>
      <c r="C65" s="15" t="s">
        <v>17</v>
      </c>
      <c r="D65" s="15" t="s">
        <v>19</v>
      </c>
      <c r="E65" s="17">
        <v>4015.3343999999997</v>
      </c>
      <c r="F65" s="16">
        <v>1872.6954282516479</v>
      </c>
    </row>
    <row r="66" spans="2:6" x14ac:dyDescent="0.25">
      <c r="B66" s="18">
        <v>42095</v>
      </c>
      <c r="C66" s="15" t="s">
        <v>17</v>
      </c>
      <c r="D66" s="15" t="s">
        <v>18</v>
      </c>
      <c r="E66" s="17">
        <v>1296.6183999999998</v>
      </c>
      <c r="F66" s="16">
        <v>600.85441877260791</v>
      </c>
    </row>
    <row r="67" spans="2:6" x14ac:dyDescent="0.25">
      <c r="B67" s="18">
        <v>42095</v>
      </c>
      <c r="C67" s="15" t="s">
        <v>17</v>
      </c>
      <c r="D67" s="15" t="s">
        <v>17</v>
      </c>
      <c r="E67" s="17">
        <v>4057.1608000000001</v>
      </c>
      <c r="F67" s="16">
        <v>1678.6606673316483</v>
      </c>
    </row>
    <row r="68" spans="2:6" x14ac:dyDescent="0.25">
      <c r="B68" s="18">
        <v>42125</v>
      </c>
      <c r="C68" s="15" t="s">
        <v>27</v>
      </c>
      <c r="D68" s="15" t="s">
        <v>34</v>
      </c>
      <c r="E68" s="17">
        <v>5290.6213360000002</v>
      </c>
      <c r="F68" s="17">
        <v>2946.0577297856239</v>
      </c>
    </row>
    <row r="69" spans="2:6" x14ac:dyDescent="0.25">
      <c r="B69" s="18">
        <v>42125</v>
      </c>
      <c r="C69" s="15" t="s">
        <v>27</v>
      </c>
      <c r="D69" s="15" t="s">
        <v>33</v>
      </c>
      <c r="E69" s="17">
        <v>1712.7910799999997</v>
      </c>
      <c r="F69" s="17">
        <v>1031.1579553300946</v>
      </c>
    </row>
    <row r="70" spans="2:6" x14ac:dyDescent="0.25">
      <c r="B70" s="18">
        <v>42125</v>
      </c>
      <c r="C70" s="15" t="s">
        <v>27</v>
      </c>
      <c r="D70" s="15" t="s">
        <v>32</v>
      </c>
      <c r="E70" s="17">
        <v>3653.9543039999999</v>
      </c>
      <c r="F70" s="17">
        <v>1772.4992002323288</v>
      </c>
    </row>
    <row r="71" spans="2:6" x14ac:dyDescent="0.25">
      <c r="B71" s="18">
        <v>42125</v>
      </c>
      <c r="C71" s="15" t="s">
        <v>27</v>
      </c>
      <c r="D71" s="15" t="s">
        <v>31</v>
      </c>
      <c r="E71" s="17">
        <v>1636.6670319999998</v>
      </c>
      <c r="F71" s="17">
        <v>731.23638528636366</v>
      </c>
    </row>
    <row r="72" spans="2:6" x14ac:dyDescent="0.25">
      <c r="B72" s="18">
        <v>42125</v>
      </c>
      <c r="C72" s="15" t="s">
        <v>27</v>
      </c>
      <c r="D72" s="15" t="s">
        <v>30</v>
      </c>
      <c r="E72" s="17">
        <v>1370.2328639999998</v>
      </c>
      <c r="F72" s="17">
        <v>675.51982745861039</v>
      </c>
    </row>
    <row r="73" spans="2:6" x14ac:dyDescent="0.25">
      <c r="B73" s="18">
        <v>42125</v>
      </c>
      <c r="C73" s="15" t="s">
        <v>27</v>
      </c>
      <c r="D73" s="15" t="s">
        <v>29</v>
      </c>
      <c r="E73" s="17">
        <v>2512.0935840000002</v>
      </c>
      <c r="F73" s="17">
        <v>1301.8812376900441</v>
      </c>
    </row>
    <row r="74" spans="2:6" x14ac:dyDescent="0.25">
      <c r="B74" s="18">
        <v>42125</v>
      </c>
      <c r="C74" s="15" t="s">
        <v>27</v>
      </c>
      <c r="D74" s="15" t="s">
        <v>28</v>
      </c>
      <c r="E74" s="17">
        <v>1560.5429840000002</v>
      </c>
      <c r="F74" s="17">
        <v>790.16013791042349</v>
      </c>
    </row>
    <row r="75" spans="2:6" x14ac:dyDescent="0.25">
      <c r="B75" s="18">
        <v>42125</v>
      </c>
      <c r="C75" s="15" t="s">
        <v>27</v>
      </c>
      <c r="D75" s="15" t="s">
        <v>26</v>
      </c>
      <c r="E75" s="17">
        <v>1903.1012000000003</v>
      </c>
      <c r="F75" s="17">
        <v>1053.3234423001531</v>
      </c>
    </row>
    <row r="76" spans="2:6" x14ac:dyDescent="0.25">
      <c r="B76" s="18">
        <v>42125</v>
      </c>
      <c r="C76" s="15" t="s">
        <v>22</v>
      </c>
      <c r="D76" s="15" t="s">
        <v>25</v>
      </c>
      <c r="E76" s="17">
        <v>1941.1632239999999</v>
      </c>
      <c r="F76" s="17">
        <v>1122.095415356868</v>
      </c>
    </row>
    <row r="77" spans="2:6" x14ac:dyDescent="0.25">
      <c r="B77" s="18">
        <v>42125</v>
      </c>
      <c r="C77" s="15" t="s">
        <v>22</v>
      </c>
      <c r="D77" s="15" t="s">
        <v>24</v>
      </c>
      <c r="E77" s="17">
        <v>418.68226399999998</v>
      </c>
      <c r="F77" s="17">
        <v>262.3826097241469</v>
      </c>
    </row>
    <row r="78" spans="2:6" x14ac:dyDescent="0.25">
      <c r="B78" s="18">
        <v>42125</v>
      </c>
      <c r="C78" s="15" t="s">
        <v>22</v>
      </c>
      <c r="D78" s="15" t="s">
        <v>23</v>
      </c>
      <c r="E78" s="17">
        <v>2626.2796560000006</v>
      </c>
      <c r="F78" s="17">
        <v>1503.1044277782619</v>
      </c>
    </row>
    <row r="79" spans="2:6" x14ac:dyDescent="0.25">
      <c r="B79" s="18">
        <v>42125</v>
      </c>
      <c r="C79" s="15" t="s">
        <v>22</v>
      </c>
      <c r="D79" s="15" t="s">
        <v>21</v>
      </c>
      <c r="E79" s="17">
        <v>1332.17084</v>
      </c>
      <c r="F79" s="17">
        <v>749.39386861345417</v>
      </c>
    </row>
    <row r="80" spans="2:6" x14ac:dyDescent="0.25">
      <c r="B80" s="18">
        <v>42125</v>
      </c>
      <c r="C80" s="15" t="s">
        <v>17</v>
      </c>
      <c r="D80" s="15" t="s">
        <v>20</v>
      </c>
      <c r="E80" s="17">
        <v>2816.5897760000003</v>
      </c>
      <c r="F80" s="17">
        <v>1208.0592396077009</v>
      </c>
    </row>
    <row r="81" spans="2:6" x14ac:dyDescent="0.25">
      <c r="B81" s="18">
        <v>42125</v>
      </c>
      <c r="C81" s="15" t="s">
        <v>17</v>
      </c>
      <c r="D81" s="15" t="s">
        <v>19</v>
      </c>
      <c r="E81" s="17">
        <v>3653.9543039999999</v>
      </c>
      <c r="F81" s="17">
        <v>1772.3189532973597</v>
      </c>
    </row>
    <row r="82" spans="2:6" x14ac:dyDescent="0.25">
      <c r="B82" s="18">
        <v>42125</v>
      </c>
      <c r="C82" s="15" t="s">
        <v>17</v>
      </c>
      <c r="D82" s="15" t="s">
        <v>18</v>
      </c>
      <c r="E82" s="17">
        <v>1941.1632239999999</v>
      </c>
      <c r="F82" s="17">
        <v>908.53258422545491</v>
      </c>
    </row>
    <row r="83" spans="2:6" x14ac:dyDescent="0.25">
      <c r="B83" s="18">
        <v>42125</v>
      </c>
      <c r="C83" s="15" t="s">
        <v>17</v>
      </c>
      <c r="D83" s="15" t="s">
        <v>17</v>
      </c>
      <c r="E83" s="17">
        <v>3692.0163280000002</v>
      </c>
      <c r="F83" s="17">
        <v>1588.6844555626722</v>
      </c>
    </row>
    <row r="84" spans="2:6" x14ac:dyDescent="0.25">
      <c r="B84" s="18">
        <v>42156</v>
      </c>
      <c r="C84" s="15" t="s">
        <v>27</v>
      </c>
      <c r="D84" s="15" t="s">
        <v>34</v>
      </c>
      <c r="E84" s="17">
        <v>6475.49214312</v>
      </c>
      <c r="F84" s="17">
        <v>3750.081393029966</v>
      </c>
    </row>
    <row r="85" spans="2:6" x14ac:dyDescent="0.25">
      <c r="B85" s="18">
        <v>42156</v>
      </c>
      <c r="C85" s="15" t="s">
        <v>27</v>
      </c>
      <c r="D85" s="15" t="s">
        <v>33</v>
      </c>
      <c r="E85" s="17">
        <v>3461.7410828000006</v>
      </c>
      <c r="F85" s="17">
        <v>2042.4031048117042</v>
      </c>
    </row>
    <row r="86" spans="2:6" x14ac:dyDescent="0.25">
      <c r="B86" s="18">
        <v>42156</v>
      </c>
      <c r="C86" s="15" t="s">
        <v>27</v>
      </c>
      <c r="D86" s="15" t="s">
        <v>32</v>
      </c>
      <c r="E86" s="17">
        <v>3909.7311052800001</v>
      </c>
      <c r="F86" s="17">
        <v>1915.5398856910779</v>
      </c>
    </row>
    <row r="87" spans="2:6" x14ac:dyDescent="0.25">
      <c r="B87" s="18">
        <v>42156</v>
      </c>
      <c r="C87" s="15" t="s">
        <v>27</v>
      </c>
      <c r="D87" s="15" t="s">
        <v>31</v>
      </c>
      <c r="E87" s="17">
        <v>529.44275384000002</v>
      </c>
      <c r="F87" s="17">
        <v>241.277397249302</v>
      </c>
    </row>
    <row r="88" spans="2:6" x14ac:dyDescent="0.25">
      <c r="B88" s="18">
        <v>42156</v>
      </c>
      <c r="C88" s="15" t="s">
        <v>27</v>
      </c>
      <c r="D88" s="15" t="s">
        <v>30</v>
      </c>
      <c r="E88" s="17">
        <v>2280.6764780800004</v>
      </c>
      <c r="F88" s="17">
        <v>1146.8525284040652</v>
      </c>
    </row>
    <row r="89" spans="2:6" x14ac:dyDescent="0.25">
      <c r="B89" s="18">
        <v>42156</v>
      </c>
      <c r="C89" s="15" t="s">
        <v>27</v>
      </c>
      <c r="D89" s="15" t="s">
        <v>29</v>
      </c>
      <c r="E89" s="17">
        <v>3095.20379168</v>
      </c>
      <c r="F89" s="17">
        <v>1668.238508165342</v>
      </c>
    </row>
    <row r="90" spans="2:6" x14ac:dyDescent="0.25">
      <c r="B90" s="18">
        <v>42156</v>
      </c>
      <c r="C90" s="15" t="s">
        <v>27</v>
      </c>
      <c r="D90" s="15" t="s">
        <v>28</v>
      </c>
      <c r="E90" s="17">
        <v>1669.78099288</v>
      </c>
      <c r="F90" s="17">
        <v>837.01663408851152</v>
      </c>
    </row>
    <row r="91" spans="2:6" x14ac:dyDescent="0.25">
      <c r="B91" s="18">
        <v>42156</v>
      </c>
      <c r="C91" s="15" t="s">
        <v>27</v>
      </c>
      <c r="D91" s="15" t="s">
        <v>26</v>
      </c>
      <c r="E91" s="17">
        <v>1629.0546271999999</v>
      </c>
      <c r="F91" s="17">
        <v>874.5955206106629</v>
      </c>
    </row>
    <row r="92" spans="2:6" x14ac:dyDescent="0.25">
      <c r="B92" s="18">
        <v>42156</v>
      </c>
      <c r="C92" s="15" t="s">
        <v>22</v>
      </c>
      <c r="D92" s="15" t="s">
        <v>25</v>
      </c>
      <c r="E92" s="17">
        <v>1669.78099288</v>
      </c>
      <c r="F92" s="17">
        <v>994.17873819327406</v>
      </c>
    </row>
    <row r="93" spans="2:6" x14ac:dyDescent="0.25">
      <c r="B93" s="18">
        <v>42156</v>
      </c>
      <c r="C93" s="15" t="s">
        <v>22</v>
      </c>
      <c r="D93" s="15" t="s">
        <v>24</v>
      </c>
      <c r="E93" s="17">
        <v>855.25367928000003</v>
      </c>
      <c r="F93" s="17">
        <v>550.57261363682369</v>
      </c>
    </row>
    <row r="94" spans="2:6" x14ac:dyDescent="0.25">
      <c r="B94" s="18">
        <v>42156</v>
      </c>
      <c r="C94" s="15" t="s">
        <v>22</v>
      </c>
      <c r="D94" s="15" t="s">
        <v>23</v>
      </c>
      <c r="E94" s="17">
        <v>2402.8555751199997</v>
      </c>
      <c r="F94" s="17">
        <v>1416.4885797305926</v>
      </c>
    </row>
    <row r="95" spans="2:6" x14ac:dyDescent="0.25">
      <c r="B95" s="18">
        <v>42156</v>
      </c>
      <c r="C95" s="15" t="s">
        <v>22</v>
      </c>
      <c r="D95" s="15" t="s">
        <v>21</v>
      </c>
      <c r="E95" s="17">
        <v>1425.4227988000002</v>
      </c>
      <c r="F95" s="17">
        <v>785.81441062806823</v>
      </c>
    </row>
    <row r="96" spans="2:6" x14ac:dyDescent="0.25">
      <c r="B96" s="18">
        <v>42156</v>
      </c>
      <c r="C96" s="15" t="s">
        <v>17</v>
      </c>
      <c r="D96" s="15" t="s">
        <v>20</v>
      </c>
      <c r="E96" s="17">
        <v>2199.2237467200002</v>
      </c>
      <c r="F96" s="17">
        <v>924.4004000978689</v>
      </c>
    </row>
    <row r="97" spans="2:6" x14ac:dyDescent="0.25">
      <c r="B97" s="18">
        <v>42156</v>
      </c>
      <c r="C97" s="15" t="s">
        <v>17</v>
      </c>
      <c r="D97" s="15" t="s">
        <v>19</v>
      </c>
      <c r="E97" s="17">
        <v>3095.20379168</v>
      </c>
      <c r="F97" s="17">
        <v>1516.3148651558615</v>
      </c>
    </row>
    <row r="98" spans="2:6" x14ac:dyDescent="0.25">
      <c r="B98" s="18">
        <v>42156</v>
      </c>
      <c r="C98" s="15" t="s">
        <v>17</v>
      </c>
      <c r="D98" s="15" t="s">
        <v>18</v>
      </c>
      <c r="E98" s="17">
        <v>2077.04464968</v>
      </c>
      <c r="F98" s="17">
        <v>1001.2937610748741</v>
      </c>
    </row>
    <row r="99" spans="2:6" x14ac:dyDescent="0.25">
      <c r="B99" s="18">
        <v>42156</v>
      </c>
      <c r="C99" s="15" t="s">
        <v>17</v>
      </c>
      <c r="D99" s="15" t="s">
        <v>17</v>
      </c>
      <c r="E99" s="17">
        <v>3950.4574709600001</v>
      </c>
      <c r="F99" s="17">
        <v>1767.8880621501416</v>
      </c>
    </row>
    <row r="100" spans="2:6" x14ac:dyDescent="0.25">
      <c r="B100" s="18">
        <v>42186</v>
      </c>
      <c r="C100" s="15" t="s">
        <v>27</v>
      </c>
      <c r="D100" s="15" t="s">
        <v>34</v>
      </c>
      <c r="E100" s="17">
        <v>5774.1841261104009</v>
      </c>
      <c r="F100" s="16">
        <v>3377.3799075649467</v>
      </c>
    </row>
    <row r="101" spans="2:6" x14ac:dyDescent="0.25">
      <c r="B101" s="18">
        <v>42186</v>
      </c>
      <c r="C101" s="15" t="s">
        <v>27</v>
      </c>
      <c r="D101" s="15" t="s">
        <v>33</v>
      </c>
      <c r="E101" s="17">
        <v>4361.7937643280002</v>
      </c>
      <c r="F101" s="16">
        <v>2676.3650285452568</v>
      </c>
    </row>
    <row r="102" spans="2:6" x14ac:dyDescent="0.25">
      <c r="B102" s="18">
        <v>42186</v>
      </c>
      <c r="C102" s="15" t="s">
        <v>27</v>
      </c>
      <c r="D102" s="15" t="s">
        <v>32</v>
      </c>
      <c r="E102" s="17">
        <v>4818.7435872576007</v>
      </c>
      <c r="F102" s="16">
        <v>2408.1209672965392</v>
      </c>
    </row>
    <row r="103" spans="2:6" x14ac:dyDescent="0.25">
      <c r="B103" s="18">
        <v>42186</v>
      </c>
      <c r="C103" s="15" t="s">
        <v>27</v>
      </c>
      <c r="D103" s="15" t="s">
        <v>31</v>
      </c>
      <c r="E103" s="17">
        <v>1370.8494687888001</v>
      </c>
      <c r="F103" s="16">
        <v>637.21731809536425</v>
      </c>
    </row>
    <row r="104" spans="2:6" x14ac:dyDescent="0.25">
      <c r="B104" s="18">
        <v>42186</v>
      </c>
      <c r="C104" s="15" t="s">
        <v>27</v>
      </c>
      <c r="D104" s="15" t="s">
        <v>30</v>
      </c>
      <c r="E104" s="17">
        <v>3157.1078675136005</v>
      </c>
      <c r="F104" s="16">
        <v>1651.0744343206866</v>
      </c>
    </row>
    <row r="105" spans="2:6" x14ac:dyDescent="0.25">
      <c r="B105" s="18">
        <v>42186</v>
      </c>
      <c r="C105" s="15" t="s">
        <v>27</v>
      </c>
      <c r="D105" s="15" t="s">
        <v>29</v>
      </c>
      <c r="E105" s="17">
        <v>3157.1078675136005</v>
      </c>
      <c r="F105" s="16">
        <v>1667.5712127620759</v>
      </c>
    </row>
    <row r="106" spans="2:6" x14ac:dyDescent="0.25">
      <c r="B106" s="18">
        <v>42186</v>
      </c>
      <c r="C106" s="15" t="s">
        <v>27</v>
      </c>
      <c r="D106" s="15" t="s">
        <v>28</v>
      </c>
      <c r="E106" s="17">
        <v>1703.1766127376002</v>
      </c>
      <c r="F106" s="16">
        <v>845.21939710257902</v>
      </c>
    </row>
    <row r="107" spans="2:6" x14ac:dyDescent="0.25">
      <c r="B107" s="18">
        <v>42186</v>
      </c>
      <c r="C107" s="15" t="s">
        <v>27</v>
      </c>
      <c r="D107" s="15" t="s">
        <v>26</v>
      </c>
      <c r="E107" s="17">
        <v>1246.2267898079999</v>
      </c>
      <c r="F107" s="16">
        <v>655.68426180181393</v>
      </c>
    </row>
    <row r="108" spans="2:6" x14ac:dyDescent="0.25">
      <c r="B108" s="18">
        <v>42186</v>
      </c>
      <c r="C108" s="15" t="s">
        <v>22</v>
      </c>
      <c r="D108" s="15" t="s">
        <v>25</v>
      </c>
      <c r="E108" s="17">
        <v>1287.7676828016001</v>
      </c>
      <c r="F108" s="16">
        <v>743.72814025905336</v>
      </c>
    </row>
    <row r="109" spans="2:6" x14ac:dyDescent="0.25">
      <c r="B109" s="18">
        <v>42186</v>
      </c>
      <c r="C109" s="15" t="s">
        <v>22</v>
      </c>
      <c r="D109" s="15" t="s">
        <v>24</v>
      </c>
      <c r="E109" s="17">
        <v>456.94982292960003</v>
      </c>
      <c r="F109" s="16">
        <v>271.96108163047626</v>
      </c>
    </row>
    <row r="110" spans="2:6" x14ac:dyDescent="0.25">
      <c r="B110" s="18">
        <v>42186</v>
      </c>
      <c r="C110" s="15" t="s">
        <v>22</v>
      </c>
      <c r="D110" s="15" t="s">
        <v>23</v>
      </c>
      <c r="E110" s="17">
        <v>2035.5037566864003</v>
      </c>
      <c r="F110" s="16">
        <v>1247.9312403988549</v>
      </c>
    </row>
    <row r="111" spans="2:6" x14ac:dyDescent="0.25">
      <c r="B111" s="18">
        <v>42186</v>
      </c>
      <c r="C111" s="15" t="s">
        <v>22</v>
      </c>
      <c r="D111" s="15" t="s">
        <v>21</v>
      </c>
      <c r="E111" s="17">
        <v>1453.9312547760003</v>
      </c>
      <c r="F111" s="16">
        <v>825.57661980584851</v>
      </c>
    </row>
    <row r="112" spans="2:6" x14ac:dyDescent="0.25">
      <c r="B112" s="18">
        <v>42186</v>
      </c>
      <c r="C112" s="15" t="s">
        <v>17</v>
      </c>
      <c r="D112" s="15" t="s">
        <v>20</v>
      </c>
      <c r="E112" s="17">
        <v>1412.3903617824001</v>
      </c>
      <c r="F112" s="16">
        <v>611.4805935491836</v>
      </c>
    </row>
    <row r="113" spans="2:6" x14ac:dyDescent="0.25">
      <c r="B113" s="18">
        <v>42186</v>
      </c>
      <c r="C113" s="15" t="s">
        <v>17</v>
      </c>
      <c r="D113" s="15" t="s">
        <v>19</v>
      </c>
      <c r="E113" s="17">
        <v>3157.1078675136005</v>
      </c>
      <c r="F113" s="16">
        <v>1515.7083392097993</v>
      </c>
    </row>
    <row r="114" spans="2:6" x14ac:dyDescent="0.25">
      <c r="B114" s="18">
        <v>42186</v>
      </c>
      <c r="C114" s="15" t="s">
        <v>17</v>
      </c>
      <c r="D114" s="15" t="s">
        <v>18</v>
      </c>
      <c r="E114" s="17">
        <v>2533.9944726096001</v>
      </c>
      <c r="F114" s="16">
        <v>1233.7941723964598</v>
      </c>
    </row>
    <row r="115" spans="2:6" x14ac:dyDescent="0.25">
      <c r="B115" s="18">
        <v>42186</v>
      </c>
      <c r="C115" s="15" t="s">
        <v>17</v>
      </c>
      <c r="D115" s="15" t="s">
        <v>17</v>
      </c>
      <c r="E115" s="17">
        <v>4444.8755503152006</v>
      </c>
      <c r="F115" s="16">
        <v>2048.8218783109123</v>
      </c>
    </row>
    <row r="116" spans="2:6" x14ac:dyDescent="0.25">
      <c r="B116" s="18">
        <v>42217</v>
      </c>
      <c r="C116" s="15" t="s">
        <v>27</v>
      </c>
      <c r="D116" s="15" t="s">
        <v>34</v>
      </c>
      <c r="E116" s="17">
        <v>6869.2020654216976</v>
      </c>
      <c r="F116" s="16">
        <v>4098.2245492463198</v>
      </c>
    </row>
    <row r="117" spans="2:6" x14ac:dyDescent="0.25">
      <c r="B117" s="18">
        <v>42217</v>
      </c>
      <c r="C117" s="15" t="s">
        <v>27</v>
      </c>
      <c r="D117" s="15" t="s">
        <v>33</v>
      </c>
      <c r="E117" s="17">
        <v>5400.3160891680009</v>
      </c>
      <c r="F117" s="16">
        <v>3446.1385891363693</v>
      </c>
    </row>
    <row r="118" spans="2:6" x14ac:dyDescent="0.25">
      <c r="B118" s="18">
        <v>42217</v>
      </c>
      <c r="C118" s="15" t="s">
        <v>27</v>
      </c>
      <c r="D118" s="15" t="s">
        <v>32</v>
      </c>
      <c r="E118" s="17">
        <v>5875.5439050147861</v>
      </c>
      <c r="F118" s="16">
        <v>2994.9717431613021</v>
      </c>
    </row>
    <row r="119" spans="2:6" x14ac:dyDescent="0.25">
      <c r="B119" s="18">
        <v>42217</v>
      </c>
      <c r="C119" s="15" t="s">
        <v>27</v>
      </c>
      <c r="D119" s="15" t="s">
        <v>31</v>
      </c>
      <c r="E119" s="17">
        <v>2289.7340218072322</v>
      </c>
      <c r="F119" s="16">
        <v>1043.0590970287317</v>
      </c>
    </row>
    <row r="120" spans="2:6" x14ac:dyDescent="0.25">
      <c r="B120" s="18">
        <v>42217</v>
      </c>
      <c r="C120" s="15" t="s">
        <v>27</v>
      </c>
      <c r="D120" s="15" t="s">
        <v>30</v>
      </c>
      <c r="E120" s="17">
        <v>1987.3163208138244</v>
      </c>
      <c r="F120" s="16">
        <v>1080.8802233607594</v>
      </c>
    </row>
    <row r="121" spans="2:6" x14ac:dyDescent="0.25">
      <c r="B121" s="18">
        <v>42217</v>
      </c>
      <c r="C121" s="15" t="s">
        <v>27</v>
      </c>
      <c r="D121" s="15" t="s">
        <v>29</v>
      </c>
      <c r="E121" s="17">
        <v>3283.3921822141447</v>
      </c>
      <c r="F121" s="16">
        <v>1751.6168018852845</v>
      </c>
    </row>
    <row r="122" spans="2:6" x14ac:dyDescent="0.25">
      <c r="B122" s="18">
        <v>42217</v>
      </c>
      <c r="C122" s="15" t="s">
        <v>27</v>
      </c>
      <c r="D122" s="15" t="s">
        <v>28</v>
      </c>
      <c r="E122" s="17">
        <v>1771.3036772471044</v>
      </c>
      <c r="F122" s="16">
        <v>852.65732779708185</v>
      </c>
    </row>
    <row r="123" spans="2:6" x14ac:dyDescent="0.25">
      <c r="B123" s="18">
        <v>42217</v>
      </c>
      <c r="C123" s="15" t="s">
        <v>27</v>
      </c>
      <c r="D123" s="15" t="s">
        <v>26</v>
      </c>
      <c r="E123" s="17">
        <v>1296.0758614003203</v>
      </c>
      <c r="F123" s="16">
        <v>709.18809756484222</v>
      </c>
    </row>
    <row r="124" spans="2:6" x14ac:dyDescent="0.25">
      <c r="B124" s="18">
        <v>42217</v>
      </c>
      <c r="C124" s="15" t="s">
        <v>22</v>
      </c>
      <c r="D124" s="15" t="s">
        <v>25</v>
      </c>
      <c r="E124" s="17">
        <v>1339.2783901136643</v>
      </c>
      <c r="F124" s="16">
        <v>796.68158384549804</v>
      </c>
    </row>
    <row r="125" spans="2:6" x14ac:dyDescent="0.25">
      <c r="B125" s="18">
        <v>42217</v>
      </c>
      <c r="C125" s="15" t="s">
        <v>22</v>
      </c>
      <c r="D125" s="15" t="s">
        <v>24</v>
      </c>
      <c r="E125" s="17">
        <v>475.22781584678404</v>
      </c>
      <c r="F125" s="16">
        <v>288.85036702148852</v>
      </c>
    </row>
    <row r="126" spans="2:6" x14ac:dyDescent="0.25">
      <c r="B126" s="18">
        <v>42217</v>
      </c>
      <c r="C126" s="15" t="s">
        <v>22</v>
      </c>
      <c r="D126" s="15" t="s">
        <v>23</v>
      </c>
      <c r="E126" s="17">
        <v>2116.9239069538562</v>
      </c>
      <c r="F126" s="16">
        <v>1271.8915202145129</v>
      </c>
    </row>
    <row r="127" spans="2:6" x14ac:dyDescent="0.25">
      <c r="B127" s="18">
        <v>42217</v>
      </c>
      <c r="C127" s="15" t="s">
        <v>22</v>
      </c>
      <c r="D127" s="15" t="s">
        <v>21</v>
      </c>
      <c r="E127" s="17">
        <v>1080.0632178336002</v>
      </c>
      <c r="F127" s="16">
        <v>631.68405366858929</v>
      </c>
    </row>
    <row r="128" spans="2:6" x14ac:dyDescent="0.25">
      <c r="B128" s="18">
        <v>42217</v>
      </c>
      <c r="C128" s="15" t="s">
        <v>17</v>
      </c>
      <c r="D128" s="15" t="s">
        <v>20</v>
      </c>
      <c r="E128" s="17">
        <v>1036.8606891202562</v>
      </c>
      <c r="F128" s="16">
        <v>453.38768150404417</v>
      </c>
    </row>
    <row r="129" spans="2:6" x14ac:dyDescent="0.25">
      <c r="B129" s="18">
        <v>42217</v>
      </c>
      <c r="C129" s="15" t="s">
        <v>17</v>
      </c>
      <c r="D129" s="15" t="s">
        <v>19</v>
      </c>
      <c r="E129" s="17">
        <v>2851.3668950807046</v>
      </c>
      <c r="F129" s="16">
        <v>1409.9916712560719</v>
      </c>
    </row>
    <row r="130" spans="2:6" x14ac:dyDescent="0.25">
      <c r="B130" s="18">
        <v>42217</v>
      </c>
      <c r="C130" s="15" t="s">
        <v>17</v>
      </c>
      <c r="D130" s="15" t="s">
        <v>18</v>
      </c>
      <c r="E130" s="17">
        <v>2635.3542515139843</v>
      </c>
      <c r="F130" s="16">
        <v>1257.4830205064718</v>
      </c>
    </row>
    <row r="131" spans="2:6" x14ac:dyDescent="0.25">
      <c r="B131" s="18">
        <v>42217</v>
      </c>
      <c r="C131" s="15" t="s">
        <v>17</v>
      </c>
      <c r="D131" s="15" t="s">
        <v>17</v>
      </c>
      <c r="E131" s="17">
        <v>2894.5694237940488</v>
      </c>
      <c r="F131" s="16">
        <v>1374.2501470572479</v>
      </c>
    </row>
    <row r="132" spans="2:6" x14ac:dyDescent="0.25">
      <c r="B132" s="18">
        <v>42248</v>
      </c>
      <c r="C132" s="15" t="s">
        <v>27</v>
      </c>
      <c r="D132" s="15" t="s">
        <v>34</v>
      </c>
      <c r="E132" s="17">
        <v>4747.525880309373</v>
      </c>
      <c r="F132" s="17">
        <v>2775.7661497002796</v>
      </c>
    </row>
    <row r="133" spans="2:6" x14ac:dyDescent="0.25">
      <c r="B133" s="18">
        <v>42248</v>
      </c>
      <c r="C133" s="15" t="s">
        <v>27</v>
      </c>
      <c r="D133" s="15" t="s">
        <v>33</v>
      </c>
      <c r="E133" s="17">
        <v>4555.7066528221258</v>
      </c>
      <c r="F133" s="17">
        <v>2819.9476383815781</v>
      </c>
    </row>
    <row r="134" spans="2:6" x14ac:dyDescent="0.25">
      <c r="B134" s="18">
        <v>42248</v>
      </c>
      <c r="C134" s="15" t="s">
        <v>27</v>
      </c>
      <c r="D134" s="15" t="s">
        <v>32</v>
      </c>
      <c r="E134" s="17">
        <v>5562.7575971301749</v>
      </c>
      <c r="F134" s="17">
        <v>2948.9548832016703</v>
      </c>
    </row>
    <row r="135" spans="2:6" x14ac:dyDescent="0.25">
      <c r="B135" s="18">
        <v>42248</v>
      </c>
      <c r="C135" s="15" t="s">
        <v>27</v>
      </c>
      <c r="D135" s="15" t="s">
        <v>31</v>
      </c>
      <c r="E135" s="17">
        <v>3980.2489703603837</v>
      </c>
      <c r="F135" s="17">
        <v>1849.4146283290984</v>
      </c>
    </row>
    <row r="136" spans="2:6" x14ac:dyDescent="0.25">
      <c r="B136" s="18">
        <v>42248</v>
      </c>
      <c r="C136" s="15" t="s">
        <v>27</v>
      </c>
      <c r="D136" s="15" t="s">
        <v>30</v>
      </c>
      <c r="E136" s="17">
        <v>2685.4691848214638</v>
      </c>
      <c r="F136" s="17">
        <v>1519.0220711188913</v>
      </c>
    </row>
    <row r="137" spans="2:6" x14ac:dyDescent="0.25">
      <c r="B137" s="18">
        <v>42248</v>
      </c>
      <c r="C137" s="15" t="s">
        <v>27</v>
      </c>
      <c r="D137" s="15" t="s">
        <v>29</v>
      </c>
      <c r="E137" s="17">
        <v>2685.4691848214638</v>
      </c>
      <c r="F137" s="17">
        <v>1475.6173081229601</v>
      </c>
    </row>
    <row r="138" spans="2:6" x14ac:dyDescent="0.25">
      <c r="B138" s="18">
        <v>42248</v>
      </c>
      <c r="C138" s="15" t="s">
        <v>27</v>
      </c>
      <c r="D138" s="15" t="s">
        <v>28</v>
      </c>
      <c r="E138" s="17">
        <v>1966.147081744286</v>
      </c>
      <c r="F138" s="17">
        <v>965.37862653185607</v>
      </c>
    </row>
    <row r="139" spans="2:6" x14ac:dyDescent="0.25">
      <c r="B139" s="18">
        <v>42248</v>
      </c>
      <c r="C139" s="15" t="s">
        <v>27</v>
      </c>
      <c r="D139" s="15" t="s">
        <v>26</v>
      </c>
      <c r="E139" s="17">
        <v>1438.6442061543555</v>
      </c>
      <c r="F139" s="17">
        <v>795.07077617994469</v>
      </c>
    </row>
    <row r="140" spans="2:6" x14ac:dyDescent="0.25">
      <c r="B140" s="18">
        <v>42248</v>
      </c>
      <c r="C140" s="15" t="s">
        <v>22</v>
      </c>
      <c r="D140" s="15" t="s">
        <v>25</v>
      </c>
      <c r="E140" s="17">
        <v>2445.6951504624044</v>
      </c>
      <c r="F140" s="17">
        <v>1513.0371045146255</v>
      </c>
    </row>
    <row r="141" spans="2:6" x14ac:dyDescent="0.25">
      <c r="B141" s="18">
        <v>42248</v>
      </c>
      <c r="C141" s="15" t="s">
        <v>22</v>
      </c>
      <c r="D141" s="15" t="s">
        <v>24</v>
      </c>
      <c r="E141" s="17">
        <v>1007.0509443080489</v>
      </c>
      <c r="F141" s="17">
        <v>599.85818310595278</v>
      </c>
    </row>
    <row r="142" spans="2:6" x14ac:dyDescent="0.25">
      <c r="B142" s="18">
        <v>42248</v>
      </c>
      <c r="C142" s="15" t="s">
        <v>22</v>
      </c>
      <c r="D142" s="15" t="s">
        <v>23</v>
      </c>
      <c r="E142" s="17">
        <v>2829.3336054368992</v>
      </c>
      <c r="F142" s="17">
        <v>1750.9196107880391</v>
      </c>
    </row>
    <row r="143" spans="2:6" x14ac:dyDescent="0.25">
      <c r="B143" s="18">
        <v>42248</v>
      </c>
      <c r="C143" s="15" t="s">
        <v>22</v>
      </c>
      <c r="D143" s="15" t="s">
        <v>21</v>
      </c>
      <c r="E143" s="17">
        <v>2157.9663092315332</v>
      </c>
      <c r="F143" s="17">
        <v>1274.7257866221396</v>
      </c>
    </row>
    <row r="144" spans="2:6" x14ac:dyDescent="0.25">
      <c r="B144" s="18">
        <v>42248</v>
      </c>
      <c r="C144" s="15" t="s">
        <v>17</v>
      </c>
      <c r="D144" s="15" t="s">
        <v>20</v>
      </c>
      <c r="E144" s="17">
        <v>2110.0115023597214</v>
      </c>
      <c r="F144" s="17">
        <v>913.41749254212255</v>
      </c>
    </row>
    <row r="145" spans="2:6" x14ac:dyDescent="0.25">
      <c r="B145" s="18">
        <v>42248</v>
      </c>
      <c r="C145" s="15" t="s">
        <v>17</v>
      </c>
      <c r="D145" s="15" t="s">
        <v>19</v>
      </c>
      <c r="E145" s="17">
        <v>3165.0172535395823</v>
      </c>
      <c r="F145" s="17">
        <v>1612.0434777470671</v>
      </c>
    </row>
    <row r="146" spans="2:6" x14ac:dyDescent="0.25">
      <c r="B146" s="18">
        <v>42248</v>
      </c>
      <c r="C146" s="15" t="s">
        <v>17</v>
      </c>
      <c r="D146" s="15" t="s">
        <v>18</v>
      </c>
      <c r="E146" s="17">
        <v>3404.7912878986413</v>
      </c>
      <c r="F146" s="17">
        <v>1673.3656385491558</v>
      </c>
    </row>
    <row r="147" spans="2:6" x14ac:dyDescent="0.25">
      <c r="B147" s="18">
        <v>42248</v>
      </c>
      <c r="C147" s="15" t="s">
        <v>17</v>
      </c>
      <c r="D147" s="15" t="s">
        <v>17</v>
      </c>
      <c r="E147" s="17">
        <v>3212.9720604113941</v>
      </c>
      <c r="F147" s="17">
        <v>1494.9093099688741</v>
      </c>
    </row>
    <row r="148" spans="2:6" x14ac:dyDescent="0.25">
      <c r="B148" s="18">
        <v>42278</v>
      </c>
      <c r="C148" s="15" t="s">
        <v>27</v>
      </c>
      <c r="D148" s="15" t="s">
        <v>34</v>
      </c>
      <c r="E148" s="17">
        <v>5174.8032095372164</v>
      </c>
      <c r="F148" s="16">
        <v>3125.0636582395255</v>
      </c>
    </row>
    <row r="149" spans="2:6" x14ac:dyDescent="0.25">
      <c r="B149" s="18">
        <v>42278</v>
      </c>
      <c r="C149" s="15" t="s">
        <v>27</v>
      </c>
      <c r="D149" s="15" t="s">
        <v>33</v>
      </c>
      <c r="E149" s="17">
        <v>4510.1495862939037</v>
      </c>
      <c r="F149" s="16">
        <v>2509.4472298139281</v>
      </c>
    </row>
    <row r="150" spans="2:6" x14ac:dyDescent="0.25">
      <c r="B150" s="18">
        <v>42278</v>
      </c>
      <c r="C150" s="15" t="s">
        <v>27</v>
      </c>
      <c r="D150" s="15" t="s">
        <v>32</v>
      </c>
      <c r="E150" s="17">
        <v>6456.6351972207485</v>
      </c>
      <c r="F150" s="16">
        <v>3102.2840795606253</v>
      </c>
    </row>
    <row r="151" spans="2:6" x14ac:dyDescent="0.25">
      <c r="B151" s="18">
        <v>42278</v>
      </c>
      <c r="C151" s="15" t="s">
        <v>27</v>
      </c>
      <c r="D151" s="15" t="s">
        <v>31</v>
      </c>
      <c r="E151" s="17">
        <v>2990.941304594905</v>
      </c>
      <c r="F151" s="16">
        <v>1377.6275648964131</v>
      </c>
    </row>
    <row r="152" spans="2:6" x14ac:dyDescent="0.25">
      <c r="B152" s="18">
        <v>42278</v>
      </c>
      <c r="C152" s="15" t="s">
        <v>27</v>
      </c>
      <c r="D152" s="15" t="s">
        <v>30</v>
      </c>
      <c r="E152" s="17">
        <v>2183.8619049423119</v>
      </c>
      <c r="F152" s="16">
        <v>1155.6997200954715</v>
      </c>
    </row>
    <row r="153" spans="2:6" x14ac:dyDescent="0.25">
      <c r="B153" s="18">
        <v>42278</v>
      </c>
      <c r="C153" s="15" t="s">
        <v>27</v>
      </c>
      <c r="D153" s="15" t="s">
        <v>29</v>
      </c>
      <c r="E153" s="17">
        <v>1709.1093169113742</v>
      </c>
      <c r="F153" s="16">
        <v>886.00226988685631</v>
      </c>
    </row>
    <row r="154" spans="2:6" x14ac:dyDescent="0.25">
      <c r="B154" s="18">
        <v>42278</v>
      </c>
      <c r="C154" s="15" t="s">
        <v>27</v>
      </c>
      <c r="D154" s="15" t="s">
        <v>28</v>
      </c>
      <c r="E154" s="17">
        <v>996.9804348649684</v>
      </c>
      <c r="F154" s="16">
        <v>471.0732554736976</v>
      </c>
    </row>
    <row r="155" spans="2:6" x14ac:dyDescent="0.25">
      <c r="B155" s="18">
        <v>42278</v>
      </c>
      <c r="C155" s="15" t="s">
        <v>27</v>
      </c>
      <c r="D155" s="15" t="s">
        <v>26</v>
      </c>
      <c r="E155" s="17">
        <v>1424.2577640928118</v>
      </c>
      <c r="F155" s="16">
        <v>829.08892963370772</v>
      </c>
    </row>
    <row r="156" spans="2:6" x14ac:dyDescent="0.25">
      <c r="B156" s="18">
        <v>42278</v>
      </c>
      <c r="C156" s="15" t="s">
        <v>22</v>
      </c>
      <c r="D156" s="15" t="s">
        <v>25</v>
      </c>
      <c r="E156" s="17">
        <v>2895.9907869887174</v>
      </c>
      <c r="F156" s="16">
        <v>1642.0267762226031</v>
      </c>
    </row>
    <row r="157" spans="2:6" x14ac:dyDescent="0.25">
      <c r="B157" s="18">
        <v>42278</v>
      </c>
      <c r="C157" s="15" t="s">
        <v>22</v>
      </c>
      <c r="D157" s="15" t="s">
        <v>24</v>
      </c>
      <c r="E157" s="17">
        <v>1329.3072464866245</v>
      </c>
      <c r="F157" s="16">
        <v>851.42129137468294</v>
      </c>
    </row>
    <row r="158" spans="2:6" x14ac:dyDescent="0.25">
      <c r="B158" s="18">
        <v>42278</v>
      </c>
      <c r="C158" s="15" t="s">
        <v>22</v>
      </c>
      <c r="D158" s="15" t="s">
        <v>23</v>
      </c>
      <c r="E158" s="17">
        <v>2801.0402693825299</v>
      </c>
      <c r="F158" s="16">
        <v>1555.9778696419958</v>
      </c>
    </row>
    <row r="159" spans="2:6" x14ac:dyDescent="0.25">
      <c r="B159" s="18">
        <v>42278</v>
      </c>
      <c r="C159" s="15" t="s">
        <v>22</v>
      </c>
      <c r="D159" s="15" t="s">
        <v>21</v>
      </c>
      <c r="E159" s="17">
        <v>2326.2876813515927</v>
      </c>
      <c r="F159" s="16">
        <v>1197.5728983598001</v>
      </c>
    </row>
    <row r="160" spans="2:6" x14ac:dyDescent="0.25">
      <c r="B160" s="18">
        <v>42278</v>
      </c>
      <c r="C160" s="15" t="s">
        <v>17</v>
      </c>
      <c r="D160" s="15" t="s">
        <v>20</v>
      </c>
      <c r="E160" s="17">
        <v>2326.2876813515927</v>
      </c>
      <c r="F160" s="16">
        <v>895.62075732036317</v>
      </c>
    </row>
    <row r="161" spans="2:6" x14ac:dyDescent="0.25">
      <c r="B161" s="18">
        <v>42278</v>
      </c>
      <c r="C161" s="15" t="s">
        <v>17</v>
      </c>
      <c r="D161" s="15" t="s">
        <v>19</v>
      </c>
      <c r="E161" s="17">
        <v>3798.0207042474985</v>
      </c>
      <c r="F161" s="16">
        <v>1637.7065276715214</v>
      </c>
    </row>
    <row r="162" spans="2:6" x14ac:dyDescent="0.25">
      <c r="B162" s="18">
        <v>42278</v>
      </c>
      <c r="C162" s="15" t="s">
        <v>17</v>
      </c>
      <c r="D162" s="15" t="s">
        <v>18</v>
      </c>
      <c r="E162" s="17">
        <v>3370.7433750196546</v>
      </c>
      <c r="F162" s="16">
        <v>1458.1835840335025</v>
      </c>
    </row>
    <row r="163" spans="2:6" x14ac:dyDescent="0.25">
      <c r="B163" s="18">
        <v>42278</v>
      </c>
      <c r="C163" s="15" t="s">
        <v>17</v>
      </c>
      <c r="D163" s="15" t="s">
        <v>17</v>
      </c>
      <c r="E163" s="17">
        <v>3180.8423398072805</v>
      </c>
      <c r="F163" s="16">
        <v>1290.149653025833</v>
      </c>
    </row>
    <row r="164" spans="2:6" x14ac:dyDescent="0.25">
      <c r="B164" s="18">
        <v>42309</v>
      </c>
      <c r="C164" s="15" t="s">
        <v>27</v>
      </c>
      <c r="D164" s="15" t="s">
        <v>34</v>
      </c>
      <c r="E164" s="17">
        <v>6335.0985346848274</v>
      </c>
      <c r="F164" s="16">
        <v>3527.6699695110847</v>
      </c>
    </row>
    <row r="165" spans="2:6" x14ac:dyDescent="0.25">
      <c r="B165" s="18">
        <v>42309</v>
      </c>
      <c r="C165" s="15" t="s">
        <v>27</v>
      </c>
      <c r="D165" s="15" t="s">
        <v>33</v>
      </c>
      <c r="E165" s="17">
        <v>5241.2685718615476</v>
      </c>
      <c r="F165" s="16">
        <v>3155.4203235905684</v>
      </c>
    </row>
    <row r="166" spans="2:6" x14ac:dyDescent="0.25">
      <c r="B166" s="18">
        <v>42309</v>
      </c>
      <c r="C166" s="15" t="s">
        <v>27</v>
      </c>
      <c r="D166" s="15" t="s">
        <v>32</v>
      </c>
      <c r="E166" s="17">
        <v>3919.5573667834178</v>
      </c>
      <c r="F166" s="16">
        <v>1901.3407721828864</v>
      </c>
    </row>
    <row r="167" spans="2:6" x14ac:dyDescent="0.25">
      <c r="B167" s="18">
        <v>42309</v>
      </c>
      <c r="C167" s="15" t="s">
        <v>27</v>
      </c>
      <c r="D167" s="15" t="s">
        <v>31</v>
      </c>
      <c r="E167" s="17">
        <v>3327.0661369208083</v>
      </c>
      <c r="F167" s="16">
        <v>1486.4793925724032</v>
      </c>
    </row>
    <row r="168" spans="2:6" x14ac:dyDescent="0.25">
      <c r="B168" s="18">
        <v>42309</v>
      </c>
      <c r="C168" s="15" t="s">
        <v>27</v>
      </c>
      <c r="D168" s="15" t="s">
        <v>30</v>
      </c>
      <c r="E168" s="17">
        <v>2552.2699132543189</v>
      </c>
      <c r="F168" s="16">
        <v>1258.2598014736861</v>
      </c>
    </row>
    <row r="169" spans="2:6" x14ac:dyDescent="0.25">
      <c r="B169" s="18">
        <v>42309</v>
      </c>
      <c r="C169" s="15" t="s">
        <v>27</v>
      </c>
      <c r="D169" s="15" t="s">
        <v>29</v>
      </c>
      <c r="E169" s="17">
        <v>1640.7449442349191</v>
      </c>
      <c r="F169" s="16">
        <v>850.30871156201283</v>
      </c>
    </row>
    <row r="170" spans="2:6" x14ac:dyDescent="0.25">
      <c r="B170" s="18">
        <v>42309</v>
      </c>
      <c r="C170" s="15" t="s">
        <v>27</v>
      </c>
      <c r="D170" s="15" t="s">
        <v>28</v>
      </c>
      <c r="E170" s="17">
        <v>957.10121747036965</v>
      </c>
      <c r="F170" s="16">
        <v>484.61544330689281</v>
      </c>
    </row>
    <row r="171" spans="2:6" x14ac:dyDescent="0.25">
      <c r="B171" s="18">
        <v>42309</v>
      </c>
      <c r="C171" s="15" t="s">
        <v>27</v>
      </c>
      <c r="D171" s="15" t="s">
        <v>26</v>
      </c>
      <c r="E171" s="17">
        <v>1367.2874535290991</v>
      </c>
      <c r="F171" s="16">
        <v>756.76266042241014</v>
      </c>
    </row>
    <row r="172" spans="2:6" x14ac:dyDescent="0.25">
      <c r="B172" s="18">
        <v>42309</v>
      </c>
      <c r="C172" s="15" t="s">
        <v>22</v>
      </c>
      <c r="D172" s="15" t="s">
        <v>25</v>
      </c>
      <c r="E172" s="17">
        <v>2780.1511555091688</v>
      </c>
      <c r="F172" s="16">
        <v>1607.0749883503549</v>
      </c>
    </row>
    <row r="173" spans="2:6" x14ac:dyDescent="0.25">
      <c r="B173" s="18">
        <v>42309</v>
      </c>
      <c r="C173" s="15" t="s">
        <v>22</v>
      </c>
      <c r="D173" s="15" t="s">
        <v>24</v>
      </c>
      <c r="E173" s="17">
        <v>2187.6599256465588</v>
      </c>
      <c r="F173" s="16">
        <v>1370.9773970269669</v>
      </c>
    </row>
    <row r="174" spans="2:6" x14ac:dyDescent="0.25">
      <c r="B174" s="18">
        <v>42309</v>
      </c>
      <c r="C174" s="15" t="s">
        <v>22</v>
      </c>
      <c r="D174" s="15" t="s">
        <v>23</v>
      </c>
      <c r="E174" s="17">
        <v>2688.9986586072287</v>
      </c>
      <c r="F174" s="16">
        <v>1539.0005328672169</v>
      </c>
    </row>
    <row r="175" spans="2:6" x14ac:dyDescent="0.25">
      <c r="B175" s="18">
        <v>42309</v>
      </c>
      <c r="C175" s="15" t="s">
        <v>22</v>
      </c>
      <c r="D175" s="15" t="s">
        <v>21</v>
      </c>
      <c r="E175" s="17">
        <v>2233.2361740975293</v>
      </c>
      <c r="F175" s="16">
        <v>1256.2754308857691</v>
      </c>
    </row>
    <row r="176" spans="2:6" x14ac:dyDescent="0.25">
      <c r="B176" s="18">
        <v>42309</v>
      </c>
      <c r="C176" s="15" t="s">
        <v>17</v>
      </c>
      <c r="D176" s="15" t="s">
        <v>20</v>
      </c>
      <c r="E176" s="17">
        <v>3144.7611431169285</v>
      </c>
      <c r="F176" s="16">
        <v>1348.8147218573445</v>
      </c>
    </row>
    <row r="177" spans="2:6" x14ac:dyDescent="0.25">
      <c r="B177" s="18">
        <v>42309</v>
      </c>
      <c r="C177" s="15" t="s">
        <v>17</v>
      </c>
      <c r="D177" s="15" t="s">
        <v>19</v>
      </c>
      <c r="E177" s="17">
        <v>2734.5749070581983</v>
      </c>
      <c r="F177" s="16">
        <v>1326.3819231907426</v>
      </c>
    </row>
    <row r="178" spans="2:6" x14ac:dyDescent="0.25">
      <c r="B178" s="18">
        <v>42309</v>
      </c>
      <c r="C178" s="15" t="s">
        <v>17</v>
      </c>
      <c r="D178" s="15" t="s">
        <v>18</v>
      </c>
      <c r="E178" s="17">
        <v>2324.3886709994686</v>
      </c>
      <c r="F178" s="16">
        <v>1087.8955565910298</v>
      </c>
    </row>
    <row r="179" spans="2:6" x14ac:dyDescent="0.25">
      <c r="B179" s="18">
        <v>42309</v>
      </c>
      <c r="C179" s="15" t="s">
        <v>17</v>
      </c>
      <c r="D179" s="15" t="s">
        <v>17</v>
      </c>
      <c r="E179" s="17">
        <v>2142.0836771955892</v>
      </c>
      <c r="F179" s="16">
        <v>921.74430938084436</v>
      </c>
    </row>
    <row r="180" spans="2:6" x14ac:dyDescent="0.25">
      <c r="B180" s="18">
        <v>42339</v>
      </c>
      <c r="C180" s="15" t="s">
        <v>27</v>
      </c>
      <c r="D180" s="15" t="s">
        <v>34</v>
      </c>
      <c r="E180" s="17">
        <v>5965.9309222319716</v>
      </c>
      <c r="F180" s="16">
        <v>3630.5117855577018</v>
      </c>
    </row>
    <row r="181" spans="2:6" x14ac:dyDescent="0.25">
      <c r="B181" s="18">
        <v>42339</v>
      </c>
      <c r="C181" s="15" t="s">
        <v>27</v>
      </c>
      <c r="D181" s="15" t="s">
        <v>33</v>
      </c>
      <c r="E181" s="17">
        <v>4762.7179631263634</v>
      </c>
      <c r="F181" s="16">
        <v>3160.8345375591989</v>
      </c>
    </row>
    <row r="182" spans="2:6" x14ac:dyDescent="0.25">
      <c r="B182" s="18">
        <v>42339</v>
      </c>
      <c r="C182" s="15" t="s">
        <v>27</v>
      </c>
      <c r="D182" s="15" t="s">
        <v>32</v>
      </c>
      <c r="E182" s="17">
        <v>5314.1905693831004</v>
      </c>
      <c r="F182" s="16">
        <v>2763.0067730550536</v>
      </c>
    </row>
    <row r="183" spans="2:6" x14ac:dyDescent="0.25">
      <c r="B183" s="18">
        <v>42339</v>
      </c>
      <c r="C183" s="15" t="s">
        <v>27</v>
      </c>
      <c r="D183" s="15" t="s">
        <v>31</v>
      </c>
      <c r="E183" s="17">
        <v>4161.1114835735598</v>
      </c>
      <c r="F183" s="16">
        <v>1857.630380842711</v>
      </c>
    </row>
    <row r="184" spans="2:6" x14ac:dyDescent="0.25">
      <c r="B184" s="18">
        <v>42339</v>
      </c>
      <c r="C184" s="15" t="s">
        <v>27</v>
      </c>
      <c r="D184" s="15" t="s">
        <v>30</v>
      </c>
      <c r="E184" s="17">
        <v>1804.8194386584114</v>
      </c>
      <c r="F184" s="16">
        <v>1020.8869933053431</v>
      </c>
    </row>
    <row r="185" spans="2:6" x14ac:dyDescent="0.25">
      <c r="B185" s="18">
        <v>42339</v>
      </c>
      <c r="C185" s="15" t="s">
        <v>27</v>
      </c>
      <c r="D185" s="15" t="s">
        <v>29</v>
      </c>
      <c r="E185" s="17">
        <v>802.1419727370718</v>
      </c>
      <c r="F185" s="16">
        <v>432.20417536480119</v>
      </c>
    </row>
    <row r="186" spans="2:6" x14ac:dyDescent="0.25">
      <c r="B186" s="18">
        <v>42339</v>
      </c>
      <c r="C186" s="15" t="s">
        <v>27</v>
      </c>
      <c r="D186" s="15" t="s">
        <v>28</v>
      </c>
      <c r="E186" s="17">
        <v>551.47260625673675</v>
      </c>
      <c r="F186" s="16">
        <v>257.49997016260198</v>
      </c>
    </row>
    <row r="187" spans="2:6" x14ac:dyDescent="0.25">
      <c r="B187" s="18">
        <v>42339</v>
      </c>
      <c r="C187" s="15" t="s">
        <v>27</v>
      </c>
      <c r="D187" s="15" t="s">
        <v>26</v>
      </c>
      <c r="E187" s="17">
        <v>752.00809944100467</v>
      </c>
      <c r="F187" s="16">
        <v>427.94393264333848</v>
      </c>
    </row>
    <row r="188" spans="2:6" x14ac:dyDescent="0.25">
      <c r="B188" s="18">
        <v>42339</v>
      </c>
      <c r="C188" s="15" t="s">
        <v>22</v>
      </c>
      <c r="D188" s="15" t="s">
        <v>25</v>
      </c>
      <c r="E188" s="17">
        <v>2055.4888051387466</v>
      </c>
      <c r="F188" s="16">
        <v>1259.4074477802305</v>
      </c>
    </row>
    <row r="189" spans="2:6" x14ac:dyDescent="0.25">
      <c r="B189" s="18">
        <v>42339</v>
      </c>
      <c r="C189" s="15" t="s">
        <v>22</v>
      </c>
      <c r="D189" s="15" t="s">
        <v>24</v>
      </c>
      <c r="E189" s="17">
        <v>2406.425918211215</v>
      </c>
      <c r="F189" s="16">
        <v>1448.034009461981</v>
      </c>
    </row>
    <row r="190" spans="2:6" x14ac:dyDescent="0.25">
      <c r="B190" s="18">
        <v>42339</v>
      </c>
      <c r="C190" s="15" t="s">
        <v>22</v>
      </c>
      <c r="D190" s="15" t="s">
        <v>23</v>
      </c>
      <c r="E190" s="17">
        <v>3960.5759903892917</v>
      </c>
      <c r="F190" s="16">
        <v>2332.0037818922497</v>
      </c>
    </row>
    <row r="191" spans="2:6" x14ac:dyDescent="0.25">
      <c r="B191" s="18">
        <v>42339</v>
      </c>
      <c r="C191" s="15" t="s">
        <v>22</v>
      </c>
      <c r="D191" s="15" t="s">
        <v>21</v>
      </c>
      <c r="E191" s="17">
        <v>2957.898524467952</v>
      </c>
      <c r="F191" s="16">
        <v>1781.8503754296369</v>
      </c>
    </row>
    <row r="192" spans="2:6" x14ac:dyDescent="0.25">
      <c r="B192" s="18">
        <v>42339</v>
      </c>
      <c r="C192" s="15" t="s">
        <v>17</v>
      </c>
      <c r="D192" s="15" t="s">
        <v>20</v>
      </c>
      <c r="E192" s="17">
        <v>4461.9147233499616</v>
      </c>
      <c r="F192" s="16">
        <v>1970.5703617106738</v>
      </c>
    </row>
    <row r="193" spans="2:6" x14ac:dyDescent="0.25">
      <c r="B193" s="18">
        <v>42339</v>
      </c>
      <c r="C193" s="15" t="s">
        <v>17</v>
      </c>
      <c r="D193" s="15" t="s">
        <v>19</v>
      </c>
      <c r="E193" s="17">
        <v>3459.2372574286223</v>
      </c>
      <c r="F193" s="16">
        <v>1761.8990394384348</v>
      </c>
    </row>
    <row r="194" spans="2:6" x14ac:dyDescent="0.25">
      <c r="B194" s="18">
        <v>42339</v>
      </c>
      <c r="C194" s="15" t="s">
        <v>17</v>
      </c>
      <c r="D194" s="15" t="s">
        <v>18</v>
      </c>
      <c r="E194" s="17">
        <v>3559.5050040207557</v>
      </c>
      <c r="F194" s="16">
        <v>1664.4808793218765</v>
      </c>
    </row>
    <row r="195" spans="2:6" x14ac:dyDescent="0.25">
      <c r="B195" s="18">
        <v>42339</v>
      </c>
      <c r="C195" s="15" t="s">
        <v>17</v>
      </c>
      <c r="D195" s="15" t="s">
        <v>17</v>
      </c>
      <c r="E195" s="17">
        <v>3158.4340176522201</v>
      </c>
      <c r="F195" s="16">
        <v>1544.5104646224395</v>
      </c>
    </row>
    <row r="196" spans="2:6" x14ac:dyDescent="0.25">
      <c r="F196" s="16"/>
    </row>
    <row r="197" spans="2:6" x14ac:dyDescent="0.25">
      <c r="E197" s="1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DB3D-F485-41D8-93D8-49176BC8350C}">
  <dimension ref="B1:L9"/>
  <sheetViews>
    <sheetView workbookViewId="0">
      <pane ySplit="1" topLeftCell="A2" activePane="bottomLeft" state="frozen"/>
      <selection pane="bottomLeft" activeCell="C6" sqref="C6"/>
    </sheetView>
  </sheetViews>
  <sheetFormatPr defaultColWidth="9.1796875" defaultRowHeight="11.5" x14ac:dyDescent="0.25"/>
  <cols>
    <col min="1" max="1" width="2" style="15" customWidth="1"/>
    <col min="2" max="2" width="19.81640625" style="15" customWidth="1"/>
    <col min="3" max="3" width="11" style="15" bestFit="1" customWidth="1"/>
    <col min="4" max="16384" width="9.1796875" style="15"/>
  </cols>
  <sheetData>
    <row r="1" spans="2:12" ht="14" x14ac:dyDescent="0.3">
      <c r="B1" s="44" t="s">
        <v>63</v>
      </c>
      <c r="C1" s="45"/>
      <c r="D1" s="45"/>
    </row>
    <row r="3" spans="2:12" ht="12.5" x14ac:dyDescent="0.25">
      <c r="B3" s="46" t="s">
        <v>64</v>
      </c>
      <c r="C3" s="47"/>
      <c r="D3" s="47"/>
      <c r="E3" s="47"/>
      <c r="F3" s="47"/>
      <c r="G3" s="47"/>
      <c r="H3" s="47"/>
      <c r="I3" s="47"/>
      <c r="J3" s="47"/>
      <c r="K3" s="47"/>
      <c r="L3" s="47"/>
    </row>
    <row r="6" spans="2:12" ht="13" x14ac:dyDescent="0.3">
      <c r="B6" s="25" t="s">
        <v>40</v>
      </c>
      <c r="C6" s="24">
        <f>SUM('01-RAW-DATA'!E4:E195)</f>
        <v>524449.21666875854</v>
      </c>
      <c r="D6" s="23"/>
    </row>
    <row r="7" spans="2:12" ht="13.5" thickBot="1" x14ac:dyDescent="0.35">
      <c r="B7" s="25" t="s">
        <v>13</v>
      </c>
      <c r="C7" s="48">
        <f>SUM('01-RAW-DATA'!F4:F195)</f>
        <v>272424.81634327146</v>
      </c>
      <c r="D7" s="23"/>
    </row>
    <row r="8" spans="2:12" ht="13.5" thickBot="1" x14ac:dyDescent="0.35">
      <c r="B8" s="25" t="s">
        <v>14</v>
      </c>
      <c r="C8" s="49">
        <f>C6-C7</f>
        <v>252024.40032548708</v>
      </c>
      <c r="D8" s="23"/>
    </row>
    <row r="9" spans="2:12" x14ac:dyDescent="0.25">
      <c r="B9" s="23"/>
      <c r="C9" s="23"/>
      <c r="D9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9AF5E-636C-4BC0-A768-6EFD0FBE616F}">
  <dimension ref="A1:M22"/>
  <sheetViews>
    <sheetView zoomScale="86" zoomScaleNormal="85" workbookViewId="0">
      <pane ySplit="1" topLeftCell="A2" activePane="bottomLeft" state="frozen"/>
      <selection pane="bottomLeft" activeCell="I8" sqref="I8"/>
    </sheetView>
  </sheetViews>
  <sheetFormatPr defaultColWidth="9.1796875" defaultRowHeight="11.5" x14ac:dyDescent="0.25"/>
  <cols>
    <col min="1" max="1" width="2" style="15" customWidth="1"/>
    <col min="2" max="2" width="9.1796875" style="15"/>
    <col min="3" max="3" width="12" style="15" customWidth="1"/>
    <col min="4" max="4" width="12.08984375" style="15" customWidth="1"/>
    <col min="5" max="5" width="12.54296875" style="15" customWidth="1"/>
    <col min="6" max="6" width="13.7265625" style="15" customWidth="1"/>
    <col min="7" max="16384" width="9.1796875" style="15"/>
  </cols>
  <sheetData>
    <row r="1" spans="1:13" ht="14" x14ac:dyDescent="0.3">
      <c r="B1" s="50" t="s">
        <v>65</v>
      </c>
      <c r="C1" s="51"/>
      <c r="D1" s="51"/>
      <c r="E1" s="51"/>
    </row>
    <row r="3" spans="1:13" ht="12.5" x14ac:dyDescent="0.25">
      <c r="B3" s="46" t="s">
        <v>66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</row>
    <row r="4" spans="1:13" ht="12.5" x14ac:dyDescent="0.25">
      <c r="B4" s="47" t="s">
        <v>44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</row>
    <row r="6" spans="1:13" x14ac:dyDescent="0.25">
      <c r="A6" s="23"/>
      <c r="B6" s="23" t="s">
        <v>43</v>
      </c>
      <c r="C6" s="23"/>
    </row>
    <row r="8" spans="1:13" ht="12" thickBot="1" x14ac:dyDescent="0.3">
      <c r="B8" s="28"/>
      <c r="C8" s="30" t="s">
        <v>42</v>
      </c>
      <c r="D8" s="30" t="s">
        <v>12</v>
      </c>
      <c r="E8" s="30" t="s">
        <v>13</v>
      </c>
      <c r="F8" s="30" t="s">
        <v>41</v>
      </c>
      <c r="G8" s="28"/>
    </row>
    <row r="9" spans="1:13" x14ac:dyDescent="0.25">
      <c r="C9" s="26">
        <v>42005</v>
      </c>
      <c r="D9" s="52">
        <f>SUMIFS('01-RAW-DATA'!$E$4:$E$195,'01-RAW-DATA'!$B$4:$B$195,$C9)</f>
        <v>40000</v>
      </c>
      <c r="E9" s="52">
        <f>SUMIFS('01-RAW-DATA'!$F$4:$F$195,'01-RAW-DATA'!$B$4:$B$195,$C9)</f>
        <v>19552.48</v>
      </c>
      <c r="F9" s="52">
        <f>$D9-$E9</f>
        <v>20447.52</v>
      </c>
      <c r="G9" s="38"/>
    </row>
    <row r="10" spans="1:13" x14ac:dyDescent="0.25">
      <c r="C10" s="26">
        <v>42036</v>
      </c>
      <c r="D10" s="52">
        <f>SUMIFS('01-RAW-DATA'!$E$4:$E$195,'01-RAW-DATA'!$B$4:$B$195,$C10)</f>
        <v>44000</v>
      </c>
      <c r="E10" s="52">
        <f>SUMIFS('01-RAW-DATA'!$F$4:$F$195,'01-RAW-DATA'!$B$4:$B$195,$C10)</f>
        <v>21978.051040000002</v>
      </c>
      <c r="F10" s="52">
        <f>$D10-$E10</f>
        <v>22021.948959999998</v>
      </c>
      <c r="G10" s="38"/>
    </row>
    <row r="11" spans="1:13" x14ac:dyDescent="0.25">
      <c r="C11" s="26">
        <v>42064</v>
      </c>
      <c r="D11" s="52">
        <f>SUMIFS('01-RAW-DATA'!$E$4:$E$195,'01-RAW-DATA'!$B$4:$B$195,$C11)</f>
        <v>43120</v>
      </c>
      <c r="E11" s="52">
        <f>SUMIFS('01-RAW-DATA'!$F$4:$F$195,'01-RAW-DATA'!$B$4:$B$195,$C11)</f>
        <v>21729.517854352005</v>
      </c>
      <c r="F11" s="52">
        <f>$D11-$E11</f>
        <v>21390.482145647995</v>
      </c>
      <c r="G11" s="38"/>
    </row>
    <row r="12" spans="1:13" x14ac:dyDescent="0.25">
      <c r="C12" s="26">
        <v>42095</v>
      </c>
      <c r="D12" s="52">
        <f>SUMIFS('01-RAW-DATA'!$E$4:$E$195,'01-RAW-DATA'!$B$4:$B$195,$C12)</f>
        <v>41826.400000000001</v>
      </c>
      <c r="E12" s="52">
        <f>SUMIFS('01-RAW-DATA'!$F$4:$F$195,'01-RAW-DATA'!$B$4:$B$195,$C12)</f>
        <v>21278.12091516213</v>
      </c>
      <c r="F12" s="52">
        <f>$D12-$E12</f>
        <v>20548.279084837872</v>
      </c>
      <c r="G12" s="38"/>
    </row>
    <row r="13" spans="1:13" x14ac:dyDescent="0.25">
      <c r="C13" s="26">
        <v>42125</v>
      </c>
      <c r="D13" s="52">
        <f>SUMIFS('01-RAW-DATA'!$E$4:$E$195,'01-RAW-DATA'!$B$4:$B$195,$C13)</f>
        <v>38062.02399999999</v>
      </c>
      <c r="E13" s="52">
        <f>SUMIFS('01-RAW-DATA'!$F$4:$F$195,'01-RAW-DATA'!$B$4:$B$195,$C13)</f>
        <v>19416.40747015956</v>
      </c>
      <c r="F13" s="52">
        <f>$D13-$E13</f>
        <v>18645.61652984043</v>
      </c>
      <c r="G13" s="38"/>
    </row>
    <row r="14" spans="1:13" x14ac:dyDescent="0.25">
      <c r="C14" s="26">
        <v>42156</v>
      </c>
      <c r="D14" s="52">
        <f>SUMIFS('01-RAW-DATA'!$E$4:$E$195,'01-RAW-DATA'!$B$4:$B$195,$C14)</f>
        <v>40726.365680000003</v>
      </c>
      <c r="E14" s="52">
        <f>SUMIFS('01-RAW-DATA'!$F$4:$F$195,'01-RAW-DATA'!$B$4:$B$195,$C14)</f>
        <v>21432.956402718137</v>
      </c>
      <c r="F14" s="52">
        <f>$D14-$E14</f>
        <v>19293.409277281866</v>
      </c>
      <c r="G14" s="38"/>
    </row>
    <row r="15" spans="1:13" x14ac:dyDescent="0.25">
      <c r="C15" s="26">
        <v>42186</v>
      </c>
      <c r="D15" s="52">
        <f>SUMIFS('01-RAW-DATA'!$E$4:$E$195,'01-RAW-DATA'!$B$4:$B$195,$C15)</f>
        <v>42371.710853472003</v>
      </c>
      <c r="E15" s="52">
        <f>SUMIFS('01-RAW-DATA'!$F$4:$F$195,'01-RAW-DATA'!$B$4:$B$195,$C15)</f>
        <v>22417.63459304985</v>
      </c>
      <c r="F15" s="52">
        <f>$D15-$E15</f>
        <v>19954.076260422153</v>
      </c>
      <c r="G15" s="38"/>
    </row>
    <row r="16" spans="1:13" x14ac:dyDescent="0.25">
      <c r="C16" s="26">
        <v>42217</v>
      </c>
      <c r="D16" s="52">
        <f>SUMIFS('01-RAW-DATA'!$E$4:$E$195,'01-RAW-DATA'!$B$4:$B$195,$C16)</f>
        <v>43202.528713344014</v>
      </c>
      <c r="E16" s="52">
        <f>SUMIFS('01-RAW-DATA'!$F$4:$F$195,'01-RAW-DATA'!$B$4:$B$195,$C16)</f>
        <v>23460.956474254621</v>
      </c>
      <c r="F16" s="52">
        <f>$D16-$E16</f>
        <v>19741.572239089393</v>
      </c>
      <c r="G16" s="38"/>
    </row>
    <row r="17" spans="3:7" x14ac:dyDescent="0.25">
      <c r="C17" s="26">
        <v>42248</v>
      </c>
      <c r="D17" s="52">
        <f>SUMIFS('01-RAW-DATA'!$E$4:$E$195,'01-RAW-DATA'!$B$4:$B$195,$C17)</f>
        <v>47954.806871811852</v>
      </c>
      <c r="E17" s="52">
        <f>SUMIFS('01-RAW-DATA'!$F$4:$F$195,'01-RAW-DATA'!$B$4:$B$195,$C17)</f>
        <v>25981.448685404252</v>
      </c>
      <c r="F17" s="52">
        <f>$D17-$E17</f>
        <v>21973.3581864076</v>
      </c>
      <c r="G17" s="38"/>
    </row>
    <row r="18" spans="3:7" x14ac:dyDescent="0.25">
      <c r="C18" s="26">
        <v>42278</v>
      </c>
      <c r="D18" s="52">
        <f>SUMIFS('01-RAW-DATA'!$E$4:$E$195,'01-RAW-DATA'!$B$4:$B$195,$C18)</f>
        <v>47475.258803093726</v>
      </c>
      <c r="E18" s="52">
        <f>SUMIFS('01-RAW-DATA'!$F$4:$F$195,'01-RAW-DATA'!$B$4:$B$195,$C18)</f>
        <v>23984.946065250533</v>
      </c>
      <c r="F18" s="52">
        <f>$D18-$E18</f>
        <v>23490.312737843193</v>
      </c>
      <c r="G18" s="38"/>
    </row>
    <row r="19" spans="3:7" x14ac:dyDescent="0.25">
      <c r="C19" s="26">
        <v>42309</v>
      </c>
      <c r="D19" s="52">
        <f>SUMIFS('01-RAW-DATA'!$E$4:$E$195,'01-RAW-DATA'!$B$4:$B$195,$C19)</f>
        <v>45576.248450969972</v>
      </c>
      <c r="E19" s="52">
        <f>SUMIFS('01-RAW-DATA'!$F$4:$F$195,'01-RAW-DATA'!$B$4:$B$195,$C19)</f>
        <v>23879.021934772212</v>
      </c>
      <c r="F19" s="52">
        <f>$D19-$E19</f>
        <v>21697.226516197759</v>
      </c>
      <c r="G19" s="38"/>
    </row>
    <row r="20" spans="3:7" x14ac:dyDescent="0.25">
      <c r="C20" s="26">
        <v>42339</v>
      </c>
      <c r="D20" s="52">
        <f>SUMIFS('01-RAW-DATA'!$E$4:$E$195,'01-RAW-DATA'!$B$4:$B$195,$C20)</f>
        <v>50133.873296066973</v>
      </c>
      <c r="E20" s="52">
        <f>SUMIFS('01-RAW-DATA'!$F$4:$F$195,'01-RAW-DATA'!$B$4:$B$195,$C20)</f>
        <v>27313.274908148269</v>
      </c>
      <c r="F20" s="52">
        <f>$D20-$E20</f>
        <v>22820.598387918704</v>
      </c>
      <c r="G20" s="38"/>
    </row>
    <row r="21" spans="3:7" x14ac:dyDescent="0.25">
      <c r="C21" s="26"/>
    </row>
    <row r="22" spans="3:7" x14ac:dyDescent="0.25">
      <c r="C22" s="2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AB54-B672-4112-BBB1-2B691702E6FA}">
  <dimension ref="B1:K22"/>
  <sheetViews>
    <sheetView zoomScale="83" zoomScaleNormal="78" workbookViewId="0">
      <pane ySplit="1" topLeftCell="A2" activePane="bottomLeft" state="frozen"/>
      <selection pane="bottomLeft" activeCell="E7" sqref="E7"/>
    </sheetView>
  </sheetViews>
  <sheetFormatPr defaultColWidth="9.1796875" defaultRowHeight="11.5" x14ac:dyDescent="0.25"/>
  <cols>
    <col min="1" max="1" width="2" style="15" customWidth="1"/>
    <col min="2" max="3" width="9.1796875" style="15"/>
    <col min="4" max="4" width="13.54296875" style="15" customWidth="1"/>
    <col min="5" max="5" width="11.6328125" style="15" customWidth="1"/>
    <col min="6" max="6" width="12.08984375" style="15" customWidth="1"/>
    <col min="7" max="7" width="16.54296875" style="15" customWidth="1"/>
    <col min="8" max="8" width="14.1796875" style="15" customWidth="1"/>
    <col min="9" max="9" width="12.81640625" style="15" customWidth="1"/>
    <col min="10" max="16384" width="9.1796875" style="15"/>
  </cols>
  <sheetData>
    <row r="1" spans="2:11" ht="18" x14ac:dyDescent="0.4">
      <c r="B1" s="53" t="s">
        <v>67</v>
      </c>
      <c r="C1" s="54"/>
      <c r="D1" s="54"/>
      <c r="E1" s="54"/>
    </row>
    <row r="3" spans="2:11" ht="14.5" x14ac:dyDescent="0.35">
      <c r="B3" t="s">
        <v>68</v>
      </c>
      <c r="C3" s="55"/>
      <c r="D3" s="55"/>
      <c r="E3" s="55"/>
      <c r="F3" s="55"/>
      <c r="G3" s="55"/>
      <c r="H3" s="55"/>
      <c r="I3" s="55"/>
      <c r="J3" s="55"/>
      <c r="K3" s="55"/>
    </row>
    <row r="4" spans="2:11" ht="12.5" x14ac:dyDescent="0.25">
      <c r="B4" s="55" t="s">
        <v>51</v>
      </c>
      <c r="C4" s="55"/>
      <c r="D4" s="55"/>
      <c r="E4" s="55"/>
      <c r="F4" s="55"/>
      <c r="G4" s="55"/>
      <c r="H4" s="55"/>
      <c r="I4" s="55"/>
      <c r="J4" s="55"/>
      <c r="K4" s="55"/>
    </row>
    <row r="8" spans="2:11" ht="14" x14ac:dyDescent="0.3">
      <c r="B8" s="33"/>
      <c r="C8" s="33" t="s">
        <v>50</v>
      </c>
      <c r="D8" s="33"/>
      <c r="E8" s="33"/>
    </row>
    <row r="10" spans="2:11" ht="12" thickBot="1" x14ac:dyDescent="0.3">
      <c r="B10" s="29"/>
      <c r="C10" s="29" t="s">
        <v>49</v>
      </c>
      <c r="D10" s="29" t="s">
        <v>27</v>
      </c>
      <c r="E10" s="29" t="s">
        <v>22</v>
      </c>
      <c r="F10" s="29" t="s">
        <v>17</v>
      </c>
      <c r="G10" s="29" t="s">
        <v>48</v>
      </c>
      <c r="H10" s="29" t="s">
        <v>47</v>
      </c>
      <c r="I10" s="29" t="s">
        <v>46</v>
      </c>
      <c r="J10" s="29" t="s">
        <v>45</v>
      </c>
      <c r="K10" s="32"/>
    </row>
    <row r="11" spans="2:11" x14ac:dyDescent="0.25">
      <c r="C11" s="26">
        <v>42005</v>
      </c>
      <c r="D11" s="27">
        <f>SUMIFS('01-RAW-DATA'!$E$4:$E$195,'01-RAW-DATA'!$B$4:$B$195,$C11,'01-RAW-DATA'!$C$4:$C$195,D$10)</f>
        <v>24760</v>
      </c>
      <c r="E11" s="27">
        <f>SUMIFS('01-RAW-DATA'!$E$4:$E$195,'01-RAW-DATA'!$B$4:$B$195,$C11,'01-RAW-DATA'!$C$4:$C$195,E$10)</f>
        <v>4520</v>
      </c>
      <c r="F11" s="27">
        <f>SUMIFS('01-RAW-DATA'!$E$4:$E$195,'01-RAW-DATA'!$B$4:$B$195,$C11,'01-RAW-DATA'!$C$4:$C$195,F$10)</f>
        <v>10720</v>
      </c>
      <c r="G11" s="27">
        <f>SUM($D11:$F11)</f>
        <v>40000</v>
      </c>
      <c r="H11" s="31">
        <f>$D11/$G11</f>
        <v>0.61899999999999999</v>
      </c>
      <c r="I11" s="31">
        <f>$E11/$G11</f>
        <v>0.113</v>
      </c>
      <c r="J11" s="31">
        <f>$F11/$G11</f>
        <v>0.26800000000000002</v>
      </c>
    </row>
    <row r="12" spans="2:11" x14ac:dyDescent="0.25">
      <c r="C12" s="26">
        <v>42036</v>
      </c>
      <c r="D12" s="27">
        <f>SUMIFS('01-RAW-DATA'!$E$4:$E$195,'01-RAW-DATA'!$B$4:$B$195,$C12,'01-RAW-DATA'!$C$4:$C$195,D$10)</f>
        <v>24596</v>
      </c>
      <c r="E12" s="27">
        <f>SUMIFS('01-RAW-DATA'!$E$4:$E$195,'01-RAW-DATA'!$B$4:$B$195,$C12,'01-RAW-DATA'!$C$4:$C$195,E$10)</f>
        <v>5852</v>
      </c>
      <c r="F12" s="27">
        <f>SUMIFS('01-RAW-DATA'!$E$4:$E$195,'01-RAW-DATA'!$B$4:$B$195,$C12,'01-RAW-DATA'!$C$4:$C$195,F$10)</f>
        <v>13552</v>
      </c>
      <c r="G12" s="27">
        <f>SUM($D12:$F12)</f>
        <v>44000</v>
      </c>
      <c r="H12" s="31">
        <f>$D12/$G12</f>
        <v>0.55900000000000005</v>
      </c>
      <c r="I12" s="31">
        <f>$E12/$G12</f>
        <v>0.13300000000000001</v>
      </c>
      <c r="J12" s="31">
        <f>$F12/$G12</f>
        <v>0.308</v>
      </c>
    </row>
    <row r="13" spans="2:11" x14ac:dyDescent="0.25">
      <c r="C13" s="26">
        <v>42064</v>
      </c>
      <c r="D13" s="27">
        <f>SUMIFS('01-RAW-DATA'!$E$4:$E$195,'01-RAW-DATA'!$B$4:$B$195,$C13,'01-RAW-DATA'!$C$4:$C$195,D$10)</f>
        <v>25828.880000000005</v>
      </c>
      <c r="E13" s="27">
        <f>SUMIFS('01-RAW-DATA'!$E$4:$E$195,'01-RAW-DATA'!$B$4:$B$195,$C13,'01-RAW-DATA'!$C$4:$C$195,E$10)</f>
        <v>4872.5600000000004</v>
      </c>
      <c r="F13" s="27">
        <f>SUMIFS('01-RAW-DATA'!$E$4:$E$195,'01-RAW-DATA'!$B$4:$B$195,$C13,'01-RAW-DATA'!$C$4:$C$195,F$10)</f>
        <v>12418.560000000001</v>
      </c>
      <c r="G13" s="27">
        <f>SUM($D13:$F13)</f>
        <v>43120.000000000007</v>
      </c>
      <c r="H13" s="31">
        <f>$D13/$G13</f>
        <v>0.59899999999999998</v>
      </c>
      <c r="I13" s="31">
        <f>$E13/$G13</f>
        <v>0.11299999999999999</v>
      </c>
      <c r="J13" s="31">
        <f>$F13/$G13</f>
        <v>0.28799999999999998</v>
      </c>
    </row>
    <row r="14" spans="2:11" x14ac:dyDescent="0.25">
      <c r="C14" s="26">
        <v>42095</v>
      </c>
      <c r="D14" s="27">
        <f>SUMIFS('01-RAW-DATA'!$E$4:$E$195,'01-RAW-DATA'!$B$4:$B$195,$C14,'01-RAW-DATA'!$C$4:$C$195,D$10)</f>
        <v>22126.1656</v>
      </c>
      <c r="E14" s="27">
        <f>SUMIFS('01-RAW-DATA'!$E$4:$E$195,'01-RAW-DATA'!$B$4:$B$195,$C14,'01-RAW-DATA'!$C$4:$C$195,E$10)</f>
        <v>6817.7032000000008</v>
      </c>
      <c r="F14" s="27">
        <f>SUMIFS('01-RAW-DATA'!$E$4:$E$195,'01-RAW-DATA'!$B$4:$B$195,$C14,'01-RAW-DATA'!$C$4:$C$195,F$10)</f>
        <v>12882.531199999999</v>
      </c>
      <c r="G14" s="27">
        <f>SUM($D14:$F14)</f>
        <v>41826.400000000001</v>
      </c>
      <c r="H14" s="31">
        <f>$D14/$G14</f>
        <v>0.52900000000000003</v>
      </c>
      <c r="I14" s="31">
        <f>$E14/$G14</f>
        <v>0.16300000000000001</v>
      </c>
      <c r="J14" s="31">
        <f>$F14/$G14</f>
        <v>0.308</v>
      </c>
    </row>
    <row r="15" spans="2:11" x14ac:dyDescent="0.25">
      <c r="C15" s="26">
        <v>42125</v>
      </c>
      <c r="D15" s="27">
        <f>SUMIFS('01-RAW-DATA'!$E$4:$E$195,'01-RAW-DATA'!$B$4:$B$195,$C15,'01-RAW-DATA'!$C$4:$C$195,D$10)</f>
        <v>19640.004384</v>
      </c>
      <c r="E15" s="27">
        <f>SUMIFS('01-RAW-DATA'!$E$4:$E$195,'01-RAW-DATA'!$B$4:$B$195,$C15,'01-RAW-DATA'!$C$4:$C$195,E$10)</f>
        <v>6318.2959840000003</v>
      </c>
      <c r="F15" s="27">
        <f>SUMIFS('01-RAW-DATA'!$E$4:$E$195,'01-RAW-DATA'!$B$4:$B$195,$C15,'01-RAW-DATA'!$C$4:$C$195,F$10)</f>
        <v>12103.723631999999</v>
      </c>
      <c r="G15" s="27">
        <f>SUM($D15:$F15)</f>
        <v>38062.023999999998</v>
      </c>
      <c r="H15" s="31">
        <f>$D15/$G15</f>
        <v>0.51600000000000001</v>
      </c>
      <c r="I15" s="31">
        <f>$E15/$G15</f>
        <v>0.16600000000000001</v>
      </c>
      <c r="J15" s="31">
        <f>$F15/$G15</f>
        <v>0.318</v>
      </c>
    </row>
    <row r="16" spans="2:11" x14ac:dyDescent="0.25">
      <c r="C16" s="26">
        <v>42156</v>
      </c>
      <c r="D16" s="27">
        <f>SUMIFS('01-RAW-DATA'!$E$4:$E$195,'01-RAW-DATA'!$B$4:$B$195,$C16,'01-RAW-DATA'!$C$4:$C$195,D$10)</f>
        <v>23051.122974880003</v>
      </c>
      <c r="E16" s="27">
        <f>SUMIFS('01-RAW-DATA'!$E$4:$E$195,'01-RAW-DATA'!$B$4:$B$195,$C16,'01-RAW-DATA'!$C$4:$C$195,E$10)</f>
        <v>6353.3130460800003</v>
      </c>
      <c r="F16" s="27">
        <f>SUMIFS('01-RAW-DATA'!$E$4:$E$195,'01-RAW-DATA'!$B$4:$B$195,$C16,'01-RAW-DATA'!$C$4:$C$195,F$10)</f>
        <v>11321.929659040001</v>
      </c>
      <c r="G16" s="27">
        <f>SUM($D16:$F16)</f>
        <v>40726.365680000003</v>
      </c>
      <c r="H16" s="31">
        <f>$D16/$G16</f>
        <v>0.56600000000000006</v>
      </c>
      <c r="I16" s="31">
        <f>$E16/$G16</f>
        <v>0.156</v>
      </c>
      <c r="J16" s="31">
        <f>$F16/$G16</f>
        <v>0.27800000000000002</v>
      </c>
    </row>
    <row r="17" spans="3:10" x14ac:dyDescent="0.25">
      <c r="C17" s="26">
        <v>42186</v>
      </c>
      <c r="D17" s="27">
        <f>SUMIFS('01-RAW-DATA'!$E$4:$E$195,'01-RAW-DATA'!$B$4:$B$195,$C17,'01-RAW-DATA'!$C$4:$C$195,D$10)</f>
        <v>25589.190084057602</v>
      </c>
      <c r="E17" s="27">
        <f>SUMIFS('01-RAW-DATA'!$E$4:$E$195,'01-RAW-DATA'!$B$4:$B$195,$C17,'01-RAW-DATA'!$C$4:$C$195,E$10)</f>
        <v>5234.1525171936009</v>
      </c>
      <c r="F17" s="27">
        <f>SUMIFS('01-RAW-DATA'!$E$4:$E$195,'01-RAW-DATA'!$B$4:$B$195,$C17,'01-RAW-DATA'!$C$4:$C$195,F$10)</f>
        <v>11548.3682522208</v>
      </c>
      <c r="G17" s="27">
        <f>SUM($D17:$F17)</f>
        <v>42371.710853472003</v>
      </c>
      <c r="H17" s="31">
        <f>$D17/$G17</f>
        <v>0.60392156862745094</v>
      </c>
      <c r="I17" s="31">
        <f>$E17/$G17</f>
        <v>0.1235294117647059</v>
      </c>
      <c r="J17" s="31">
        <f>$F17/$G17</f>
        <v>0.27254901960784311</v>
      </c>
    </row>
    <row r="18" spans="3:10" x14ac:dyDescent="0.25">
      <c r="C18" s="26">
        <v>42217</v>
      </c>
      <c r="D18" s="27">
        <f>SUMIFS('01-RAW-DATA'!$E$4:$E$195,'01-RAW-DATA'!$B$4:$B$195,$C18,'01-RAW-DATA'!$C$4:$C$195,D$10)</f>
        <v>28772.884123087115</v>
      </c>
      <c r="E18" s="27">
        <f>SUMIFS('01-RAW-DATA'!$E$4:$E$195,'01-RAW-DATA'!$B$4:$B$195,$C18,'01-RAW-DATA'!$C$4:$C$195,E$10)</f>
        <v>5011.493330747905</v>
      </c>
      <c r="F18" s="27">
        <f>SUMIFS('01-RAW-DATA'!$E$4:$E$195,'01-RAW-DATA'!$B$4:$B$195,$C18,'01-RAW-DATA'!$C$4:$C$195,F$10)</f>
        <v>9418.1512595089953</v>
      </c>
      <c r="G18" s="27">
        <f>SUM($D18:$F18)</f>
        <v>43202.528713344014</v>
      </c>
      <c r="H18" s="31">
        <f>$D18/$G18</f>
        <v>0.66600000000000004</v>
      </c>
      <c r="I18" s="31">
        <f>$E18/$G18</f>
        <v>0.11599999999999999</v>
      </c>
      <c r="J18" s="31">
        <f>$F18/$G18</f>
        <v>0.218</v>
      </c>
    </row>
    <row r="19" spans="3:10" x14ac:dyDescent="0.25">
      <c r="C19" s="26">
        <v>42248</v>
      </c>
      <c r="D19" s="27">
        <f>SUMIFS('01-RAW-DATA'!$E$4:$E$195,'01-RAW-DATA'!$B$4:$B$195,$C19,'01-RAW-DATA'!$C$4:$C$195,D$10)</f>
        <v>27621.968758163628</v>
      </c>
      <c r="E19" s="27">
        <f>SUMIFS('01-RAW-DATA'!$E$4:$E$195,'01-RAW-DATA'!$B$4:$B$195,$C19,'01-RAW-DATA'!$C$4:$C$195,E$10)</f>
        <v>8440.0460094388854</v>
      </c>
      <c r="F19" s="27">
        <f>SUMIFS('01-RAW-DATA'!$E$4:$E$195,'01-RAW-DATA'!$B$4:$B$195,$C19,'01-RAW-DATA'!$C$4:$C$195,F$10)</f>
        <v>11892.792104209339</v>
      </c>
      <c r="G19" s="27">
        <f>SUM($D19:$F19)</f>
        <v>47954.806871811852</v>
      </c>
      <c r="H19" s="31">
        <f>$D19/$G19</f>
        <v>0.57600000000000007</v>
      </c>
      <c r="I19" s="31">
        <f>$E19/$G19</f>
        <v>0.17599999999999999</v>
      </c>
      <c r="J19" s="31">
        <f>$F19/$G19</f>
        <v>0.24799999999999997</v>
      </c>
    </row>
    <row r="20" spans="3:10" x14ac:dyDescent="0.25">
      <c r="C20" s="26">
        <v>42278</v>
      </c>
      <c r="D20" s="27">
        <f>SUMIFS('01-RAW-DATA'!$E$4:$E$195,'01-RAW-DATA'!$B$4:$B$195,$C20,'01-RAW-DATA'!$C$4:$C$195,D$10)</f>
        <v>25446.738718458233</v>
      </c>
      <c r="E20" s="27">
        <f>SUMIFS('01-RAW-DATA'!$E$4:$E$195,'01-RAW-DATA'!$B$4:$B$195,$C20,'01-RAW-DATA'!$C$4:$C$195,E$10)</f>
        <v>9352.6259842094641</v>
      </c>
      <c r="F20" s="27">
        <f>SUMIFS('01-RAW-DATA'!$E$4:$E$195,'01-RAW-DATA'!$B$4:$B$195,$C20,'01-RAW-DATA'!$C$4:$C$195,F$10)</f>
        <v>12675.894100426027</v>
      </c>
      <c r="G20" s="27">
        <f>SUM($D20:$F20)</f>
        <v>47475.258803093726</v>
      </c>
      <c r="H20" s="31">
        <f>$D20/$G20</f>
        <v>0.53599999999999992</v>
      </c>
      <c r="I20" s="31">
        <f>$E20/$G20</f>
        <v>0.19700000000000001</v>
      </c>
      <c r="J20" s="31">
        <f>$F20/$G20</f>
        <v>0.26700000000000007</v>
      </c>
    </row>
    <row r="21" spans="3:10" x14ac:dyDescent="0.25">
      <c r="C21" s="26">
        <v>42309</v>
      </c>
      <c r="D21" s="27">
        <f>SUMIFS('01-RAW-DATA'!$E$4:$E$195,'01-RAW-DATA'!$B$4:$B$195,$C21,'01-RAW-DATA'!$C$4:$C$195,D$10)</f>
        <v>25340.394138739306</v>
      </c>
      <c r="E21" s="27">
        <f>SUMIFS('01-RAW-DATA'!$E$4:$E$195,'01-RAW-DATA'!$B$4:$B$195,$C21,'01-RAW-DATA'!$C$4:$C$195,E$10)</f>
        <v>9890.0459138604856</v>
      </c>
      <c r="F21" s="27">
        <f>SUMIFS('01-RAW-DATA'!$E$4:$E$195,'01-RAW-DATA'!$B$4:$B$195,$C21,'01-RAW-DATA'!$C$4:$C$195,F$10)</f>
        <v>10345.808398370185</v>
      </c>
      <c r="G21" s="27">
        <f>SUM($D21:$F21)</f>
        <v>45576.248450969979</v>
      </c>
      <c r="H21" s="31">
        <f>$D21/$G21</f>
        <v>0.55599999999999994</v>
      </c>
      <c r="I21" s="31">
        <f>$E21/$G21</f>
        <v>0.217</v>
      </c>
      <c r="J21" s="31">
        <f>$F21/$G21</f>
        <v>0.22700000000000001</v>
      </c>
    </row>
    <row r="22" spans="3:10" x14ac:dyDescent="0.25">
      <c r="C22" s="26">
        <v>42339</v>
      </c>
      <c r="D22" s="27">
        <f>SUMIFS('01-RAW-DATA'!$E$4:$E$195,'01-RAW-DATA'!$B$4:$B$195,$C22,'01-RAW-DATA'!$C$4:$C$195,D$10)</f>
        <v>24114.393055408218</v>
      </c>
      <c r="E22" s="27">
        <f>SUMIFS('01-RAW-DATA'!$E$4:$E$195,'01-RAW-DATA'!$B$4:$B$195,$C22,'01-RAW-DATA'!$C$4:$C$195,E$10)</f>
        <v>11380.389238207204</v>
      </c>
      <c r="F22" s="27">
        <f>SUMIFS('01-RAW-DATA'!$E$4:$E$195,'01-RAW-DATA'!$B$4:$B$195,$C22,'01-RAW-DATA'!$C$4:$C$195,F$10)</f>
        <v>14639.09100245156</v>
      </c>
      <c r="G22" s="27">
        <f>SUM($D22:$F22)</f>
        <v>50133.873296066988</v>
      </c>
      <c r="H22" s="31">
        <f>$D22/$G22</f>
        <v>0.48099999999999993</v>
      </c>
      <c r="I22" s="31">
        <f>$E22/$G22</f>
        <v>0.22699999999999995</v>
      </c>
      <c r="J22" s="31">
        <f>$F22/$G22</f>
        <v>0.29199999999999998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C1C9-CC1C-4C9E-B221-E8874521D9D2}">
  <dimension ref="A1:S41"/>
  <sheetViews>
    <sheetView tabSelected="1" zoomScale="96" workbookViewId="0">
      <pane ySplit="1" topLeftCell="A2" activePane="bottomLeft" state="frozen"/>
      <selection pane="bottomLeft" activeCell="S30" sqref="S30"/>
    </sheetView>
  </sheetViews>
  <sheetFormatPr defaultColWidth="9.1796875" defaultRowHeight="11.5" x14ac:dyDescent="0.25"/>
  <cols>
    <col min="1" max="1" width="2" style="15" customWidth="1"/>
    <col min="2" max="2" width="9.1796875" style="15"/>
    <col min="3" max="3" width="12.54296875" style="15" customWidth="1"/>
    <col min="4" max="4" width="12.453125" style="15" customWidth="1"/>
    <col min="5" max="5" width="13.81640625" style="15" customWidth="1"/>
    <col min="6" max="6" width="13.1796875" style="15" customWidth="1"/>
    <col min="7" max="7" width="9.1796875" style="15"/>
    <col min="8" max="8" width="15.6328125" style="15" customWidth="1"/>
    <col min="9" max="9" width="16.08984375" style="15" customWidth="1"/>
    <col min="10" max="10" width="13.7265625" style="15" customWidth="1"/>
    <col min="11" max="14" width="9.1796875" style="15"/>
    <col min="15" max="15" width="12" style="15" customWidth="1"/>
    <col min="16" max="16384" width="9.1796875" style="15"/>
  </cols>
  <sheetData>
    <row r="1" spans="1:12" ht="14" x14ac:dyDescent="0.25">
      <c r="B1" s="56" t="s">
        <v>69</v>
      </c>
      <c r="C1" s="57"/>
      <c r="D1" s="57"/>
      <c r="E1" s="57"/>
    </row>
    <row r="3" spans="1:12" x14ac:dyDescent="0.25">
      <c r="B3" s="58" t="s">
        <v>70</v>
      </c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x14ac:dyDescent="0.25">
      <c r="B4" s="15" t="s">
        <v>61</v>
      </c>
    </row>
    <row r="6" spans="1:12" x14ac:dyDescent="0.25">
      <c r="B6" s="23"/>
      <c r="C6" s="23" t="s">
        <v>60</v>
      </c>
      <c r="D6" s="23"/>
      <c r="E6" s="23"/>
      <c r="F6" s="23"/>
    </row>
    <row r="7" spans="1:12" ht="12" thickBot="1" x14ac:dyDescent="0.3">
      <c r="A7" s="41"/>
      <c r="B7" s="32"/>
      <c r="C7" s="30" t="s">
        <v>59</v>
      </c>
      <c r="D7" s="29" t="s">
        <v>12</v>
      </c>
      <c r="E7" s="29" t="s">
        <v>13</v>
      </c>
      <c r="F7" s="29" t="s">
        <v>14</v>
      </c>
      <c r="G7" s="29" t="s">
        <v>52</v>
      </c>
      <c r="H7" s="32"/>
      <c r="I7" s="23"/>
    </row>
    <row r="8" spans="1:12" x14ac:dyDescent="0.25">
      <c r="C8" s="38" t="s">
        <v>34</v>
      </c>
      <c r="D8" s="40">
        <f>SUMIFS('01-RAW-DATA'!$E$4:$E$195,'01-RAW-DATA'!$D$4:$D$195,$C8)</f>
        <v>66356.11501741549</v>
      </c>
      <c r="E8" s="40">
        <f>SUMIFS('01-RAW-DATA'!$F$4:$F$195,'01-RAW-DATA'!$D$4:$D$195,$C8)</f>
        <v>38588.782689077227</v>
      </c>
      <c r="F8" s="40">
        <f>$D8-$E8</f>
        <v>27767.332328338263</v>
      </c>
      <c r="G8" s="39">
        <f>$F8/$D8</f>
        <v>0.41845928323336273</v>
      </c>
    </row>
    <row r="9" spans="1:12" x14ac:dyDescent="0.25">
      <c r="C9" s="38" t="s">
        <v>33</v>
      </c>
      <c r="D9" s="40">
        <f>SUMIFS('01-RAW-DATA'!$E$4:$E$195,'01-RAW-DATA'!$D$4:$D$195,$C9)</f>
        <v>44526.264790399946</v>
      </c>
      <c r="E9" s="40">
        <f>SUMIFS('01-RAW-DATA'!$F$4:$F$195,'01-RAW-DATA'!$D$4:$D$195,$C9)</f>
        <v>26807.780388826301</v>
      </c>
      <c r="F9" s="40">
        <f>$D9-$E9</f>
        <v>17718.484401573645</v>
      </c>
      <c r="G9" s="39">
        <f>$F9/$D9</f>
        <v>0.39793332059135189</v>
      </c>
    </row>
    <row r="10" spans="1:12" x14ac:dyDescent="0.25">
      <c r="C10" s="38" t="s">
        <v>32</v>
      </c>
      <c r="D10" s="40">
        <f>SUMIFS('01-RAW-DATA'!$E$4:$E$195,'01-RAW-DATA'!$D$4:$D$195,$C10)</f>
        <v>54921.168032069829</v>
      </c>
      <c r="E10" s="40">
        <f>SUMIFS('01-RAW-DATA'!$F$4:$F$195,'01-RAW-DATA'!$D$4:$D$195,$C10)</f>
        <v>27457.589327155347</v>
      </c>
      <c r="F10" s="40">
        <f>$D10-$E10</f>
        <v>27463.578704914482</v>
      </c>
      <c r="G10" s="39">
        <f>$F10/$D10</f>
        <v>0.50005452704279374</v>
      </c>
    </row>
    <row r="11" spans="1:12" x14ac:dyDescent="0.25">
      <c r="C11" s="38" t="s">
        <v>31</v>
      </c>
      <c r="D11" s="40">
        <f>SUMIFS('01-RAW-DATA'!$E$4:$E$195,'01-RAW-DATA'!$D$4:$D$195,$C11)</f>
        <v>28589.956371885684</v>
      </c>
      <c r="E11" s="40">
        <f>SUMIFS('01-RAW-DATA'!$F$4:$F$195,'01-RAW-DATA'!$D$4:$D$195,$C11)</f>
        <v>13047.778706700836</v>
      </c>
      <c r="F11" s="40">
        <f>$D11-$E11</f>
        <v>15542.177665184849</v>
      </c>
      <c r="G11" s="39">
        <f>$F11/$D11</f>
        <v>0.54362369298571078</v>
      </c>
    </row>
    <row r="12" spans="1:12" x14ac:dyDescent="0.25">
      <c r="C12" s="38" t="s">
        <v>30</v>
      </c>
      <c r="D12" s="40">
        <f>SUMIFS('01-RAW-DATA'!$E$4:$E$195,'01-RAW-DATA'!$D$4:$D$195,$C12)</f>
        <v>24412.62437208393</v>
      </c>
      <c r="E12" s="40">
        <f>SUMIFS('01-RAW-DATA'!$F$4:$F$195,'01-RAW-DATA'!$D$4:$D$195,$C12)</f>
        <v>12877.495293914986</v>
      </c>
      <c r="F12" s="40">
        <f>$D12-$E12</f>
        <v>11535.129078168944</v>
      </c>
      <c r="G12" s="39">
        <f>$F12/$D12</f>
        <v>0.47250672039010583</v>
      </c>
    </row>
    <row r="13" spans="1:12" x14ac:dyDescent="0.25">
      <c r="C13" s="38" t="s">
        <v>29</v>
      </c>
      <c r="D13" s="40">
        <f>SUMIFS('01-RAW-DATA'!$E$4:$E$195,'01-RAW-DATA'!$D$4:$D$195,$C13)</f>
        <v>32319.657244112575</v>
      </c>
      <c r="E13" s="40">
        <f>SUMIFS('01-RAW-DATA'!$F$4:$F$195,'01-RAW-DATA'!$D$4:$D$195,$C13)</f>
        <v>16821.60038566107</v>
      </c>
      <c r="F13" s="40">
        <f>$D13-$E13</f>
        <v>15498.056858451506</v>
      </c>
      <c r="G13" s="39">
        <f>$F13/$D13</f>
        <v>0.47952417135471537</v>
      </c>
    </row>
    <row r="14" spans="1:12" x14ac:dyDescent="0.25">
      <c r="C14" s="38" t="s">
        <v>28</v>
      </c>
      <c r="D14" s="40">
        <f>SUMIFS('01-RAW-DATA'!$E$4:$E$195,'01-RAW-DATA'!$D$4:$D$195,$C14)</f>
        <v>23156.108007201063</v>
      </c>
      <c r="E14" s="40">
        <f>SUMIFS('01-RAW-DATA'!$F$4:$F$195,'01-RAW-DATA'!$D$4:$D$195,$C14)</f>
        <v>11159.524520507244</v>
      </c>
      <c r="F14" s="40">
        <f>$D14-$E14</f>
        <v>11996.583486693818</v>
      </c>
      <c r="G14" s="39">
        <f>$F14/$D14</f>
        <v>0.51807425854824707</v>
      </c>
    </row>
    <row r="15" spans="1:12" x14ac:dyDescent="0.25">
      <c r="C15" s="38" t="s">
        <v>26</v>
      </c>
      <c r="D15" s="40">
        <f>SUMIFS('01-RAW-DATA'!$E$4:$E$195,'01-RAW-DATA'!$D$4:$D$195,$C15)</f>
        <v>22605.848001625593</v>
      </c>
      <c r="E15" s="40">
        <f>SUMIFS('01-RAW-DATA'!$F$4:$F$195,'01-RAW-DATA'!$D$4:$D$195,$C15)</f>
        <v>12615.72324308289</v>
      </c>
      <c r="F15" s="40">
        <f>$D15-$E15</f>
        <v>9990.1247585427027</v>
      </c>
      <c r="G15" s="39">
        <f>$F15/$D15</f>
        <v>0.44192656510051337</v>
      </c>
    </row>
    <row r="16" spans="1:12" x14ac:dyDescent="0.25">
      <c r="C16" s="38" t="s">
        <v>25</v>
      </c>
      <c r="D16" s="40">
        <f>SUMIFS('01-RAW-DATA'!$E$4:$E$195,'01-RAW-DATA'!$D$4:$D$195,$C16)</f>
        <v>24974.207387894301</v>
      </c>
      <c r="E16" s="40">
        <f>SUMIFS('01-RAW-DATA'!$F$4:$F$195,'01-RAW-DATA'!$D$4:$D$195,$C16)</f>
        <v>14559.69471863563</v>
      </c>
      <c r="F16" s="40">
        <f>$D16-$E16</f>
        <v>10414.512669258671</v>
      </c>
      <c r="G16" s="39">
        <f>$F16/$D16</f>
        <v>0.41701073861935162</v>
      </c>
    </row>
    <row r="17" spans="2:19" x14ac:dyDescent="0.25">
      <c r="C17" s="38" t="s">
        <v>24</v>
      </c>
      <c r="D17" s="40">
        <f>SUMIFS('01-RAW-DATA'!$E$4:$E$195,'01-RAW-DATA'!$D$4:$D$195,$C17)</f>
        <v>11853.232016708831</v>
      </c>
      <c r="E17" s="40">
        <f>SUMIFS('01-RAW-DATA'!$F$4:$F$195,'01-RAW-DATA'!$D$4:$D$195,$C17)</f>
        <v>7378.9088759684</v>
      </c>
      <c r="F17" s="40">
        <f>$D17-$E17</f>
        <v>4474.323140740431</v>
      </c>
      <c r="G17" s="39">
        <f>$F17/$D17</f>
        <v>0.37747705726448538</v>
      </c>
    </row>
    <row r="18" spans="2:19" x14ac:dyDescent="0.25">
      <c r="C18" s="38" t="s">
        <v>23</v>
      </c>
      <c r="D18" s="40">
        <f>SUMIFS('01-RAW-DATA'!$E$4:$E$195,'01-RAW-DATA'!$D$4:$D$195,$C18)</f>
        <v>27237.485018576208</v>
      </c>
      <c r="E18" s="40">
        <f>SUMIFS('01-RAW-DATA'!$F$4:$F$195,'01-RAW-DATA'!$D$4:$D$195,$C18)</f>
        <v>15851.521037777205</v>
      </c>
      <c r="F18" s="40">
        <f>$D18-$E18</f>
        <v>11385.963980799002</v>
      </c>
      <c r="G18" s="39">
        <f>$F18/$D18</f>
        <v>0.41802552522869396</v>
      </c>
    </row>
    <row r="19" spans="2:19" x14ac:dyDescent="0.25">
      <c r="C19" s="38" t="s">
        <v>21</v>
      </c>
      <c r="D19" s="40">
        <f>SUMIFS('01-RAW-DATA'!$E$4:$E$195,'01-RAW-DATA'!$D$4:$D$195,$C19)</f>
        <v>19977.70080055821</v>
      </c>
      <c r="E19" s="40">
        <f>SUMIFS('01-RAW-DATA'!$F$4:$F$195,'01-RAW-DATA'!$D$4:$D$195,$C19)</f>
        <v>11147.659288192985</v>
      </c>
      <c r="F19" s="40">
        <f>$D19-$E19</f>
        <v>8830.0415123652256</v>
      </c>
      <c r="G19" s="39">
        <f>$F19/$D19</f>
        <v>0.44199488221980476</v>
      </c>
    </row>
    <row r="20" spans="2:19" x14ac:dyDescent="0.25">
      <c r="C20" s="38" t="s">
        <v>20</v>
      </c>
      <c r="D20" s="40">
        <f>SUMIFS('01-RAW-DATA'!$E$4:$E$195,'01-RAW-DATA'!$D$4:$D$195,$C20)</f>
        <v>29814.737223800861</v>
      </c>
      <c r="E20" s="40">
        <f>SUMIFS('01-RAW-DATA'!$F$4:$F$195,'01-RAW-DATA'!$D$4:$D$195,$C20)</f>
        <v>12329.825463510902</v>
      </c>
      <c r="F20" s="40">
        <f>$D20-$E20</f>
        <v>17484.911760289957</v>
      </c>
      <c r="G20" s="39">
        <f>$F20/$D20</f>
        <v>0.58645198275743626</v>
      </c>
    </row>
    <row r="21" spans="2:19" x14ac:dyDescent="0.25">
      <c r="C21" s="38" t="s">
        <v>19</v>
      </c>
      <c r="D21" s="40">
        <f>SUMIFS('01-RAW-DATA'!$E$4:$E$195,'01-RAW-DATA'!$D$4:$D$195,$C21)</f>
        <v>45995.737380548206</v>
      </c>
      <c r="E21" s="40">
        <f>SUMIFS('01-RAW-DATA'!$F$4:$F$195,'01-RAW-DATA'!$D$4:$D$195,$C21)</f>
        <v>21479.790045378508</v>
      </c>
      <c r="F21" s="40">
        <f>$D21-$E21</f>
        <v>24515.947335169698</v>
      </c>
      <c r="G21" s="39">
        <f>$F21/$D21</f>
        <v>0.53300476807960895</v>
      </c>
    </row>
    <row r="22" spans="2:19" x14ac:dyDescent="0.25">
      <c r="C22" s="38" t="s">
        <v>18</v>
      </c>
      <c r="D22" s="40">
        <f>SUMIFS('01-RAW-DATA'!$E$4:$E$195,'01-RAW-DATA'!$D$4:$D$195,$C22)</f>
        <v>27124.323335742109</v>
      </c>
      <c r="E22" s="40">
        <f>SUMIFS('01-RAW-DATA'!$F$4:$F$195,'01-RAW-DATA'!$D$4:$D$195,$C22)</f>
        <v>12614.707039631432</v>
      </c>
      <c r="F22" s="40">
        <f>$D22-$E22</f>
        <v>14509.616296110677</v>
      </c>
      <c r="G22" s="39">
        <f>$F22/$D22</f>
        <v>0.53493007425520356</v>
      </c>
    </row>
    <row r="23" spans="2:19" x14ac:dyDescent="0.25">
      <c r="C23" s="38" t="s">
        <v>17</v>
      </c>
      <c r="D23" s="40">
        <f>SUMIFS('01-RAW-DATA'!$E$4:$E$195,'01-RAW-DATA'!$D$4:$D$195,$C23)</f>
        <v>40584.051668135726</v>
      </c>
      <c r="E23" s="40">
        <f>SUMIFS('01-RAW-DATA'!$F$4:$F$195,'01-RAW-DATA'!$D$4:$D$195,$C23)</f>
        <v>17686.435319250617</v>
      </c>
      <c r="F23" s="40">
        <f>$D23-$E23</f>
        <v>22897.616348885109</v>
      </c>
      <c r="G23" s="39">
        <f>$F23/$D23</f>
        <v>0.56420232598074993</v>
      </c>
    </row>
    <row r="27" spans="2:19" x14ac:dyDescent="0.25">
      <c r="B27" s="23"/>
      <c r="C27" s="23" t="s">
        <v>58</v>
      </c>
      <c r="D27" s="23"/>
      <c r="E27" s="23"/>
      <c r="F27" s="23"/>
    </row>
    <row r="28" spans="2:19" x14ac:dyDescent="0.25">
      <c r="D28" s="15" t="s">
        <v>33</v>
      </c>
      <c r="E28" s="15" t="s">
        <v>33</v>
      </c>
      <c r="H28" s="38" t="s">
        <v>34</v>
      </c>
      <c r="I28" s="38" t="s">
        <v>34</v>
      </c>
    </row>
    <row r="29" spans="2:19" ht="16" thickBot="1" x14ac:dyDescent="0.4">
      <c r="B29" s="22"/>
      <c r="C29" s="36" t="s">
        <v>57</v>
      </c>
      <c r="D29" s="37" t="s">
        <v>56</v>
      </c>
      <c r="E29" s="37" t="s">
        <v>55</v>
      </c>
      <c r="F29" s="36" t="s">
        <v>14</v>
      </c>
      <c r="G29" s="36" t="s">
        <v>52</v>
      </c>
      <c r="H29" s="36" t="s">
        <v>54</v>
      </c>
      <c r="I29" s="36" t="s">
        <v>53</v>
      </c>
      <c r="J29" s="36" t="s">
        <v>14</v>
      </c>
      <c r="K29" s="36" t="s">
        <v>52</v>
      </c>
      <c r="N29" s="59"/>
      <c r="O29" s="60" t="s">
        <v>71</v>
      </c>
      <c r="P29" s="61"/>
    </row>
    <row r="30" spans="2:19" x14ac:dyDescent="0.25">
      <c r="C30" s="26">
        <v>42005</v>
      </c>
      <c r="D30" s="35">
        <f>SUMIFS('01-RAW-DATA'!$E$4:$E$195,'01-RAW-DATA'!$B$4:$B$195,$C30,'01-RAW-DATA'!$D$4:$D$195,D$28)</f>
        <v>2600</v>
      </c>
      <c r="E30" s="35">
        <f>SUMIFS('01-RAW-DATA'!$F$4:$F$195,'01-RAW-DATA'!$B$4:$B$195,$C30,'01-RAW-DATA'!$D$4:$D$195,E$28)</f>
        <v>1391</v>
      </c>
      <c r="F30" s="35">
        <f>$D30-$E30</f>
        <v>1209</v>
      </c>
      <c r="G30" s="34">
        <f>$F30/$D30</f>
        <v>0.46500000000000002</v>
      </c>
      <c r="H30" s="35">
        <f>SUMIFS('01-RAW-DATA'!$E$4:$E$195,'01-RAW-DATA'!$B$4:$B$195,$C30,'01-RAW-DATA'!$D$4:$D$195,H$28)</f>
        <v>4680</v>
      </c>
      <c r="I30" s="35">
        <f>SUMIFS('01-RAW-DATA'!$F$4:$F$195,'01-RAW-DATA'!$B$4:$B$195,$C30,'01-RAW-DATA'!$D$4:$D$195,I$28)</f>
        <v>2569.3200000000002</v>
      </c>
      <c r="J30" s="35">
        <f>$H30-$I30</f>
        <v>2110.6799999999998</v>
      </c>
      <c r="K30" s="34">
        <f>$J30/$H30</f>
        <v>0.45099999999999996</v>
      </c>
    </row>
    <row r="31" spans="2:19" x14ac:dyDescent="0.25">
      <c r="C31" s="26">
        <v>42036</v>
      </c>
      <c r="D31" s="35">
        <f>SUMIFS('01-RAW-DATA'!$E$4:$E$195,'01-RAW-DATA'!$B$4:$B$195,$C31,'01-RAW-DATA'!$D$4:$D$195,D$28)</f>
        <v>1980</v>
      </c>
      <c r="E31" s="35">
        <f>SUMIFS('01-RAW-DATA'!$F$4:$F$195,'01-RAW-DATA'!$B$4:$B$195,$C31,'01-RAW-DATA'!$D$4:$D$195,E$28)</f>
        <v>1101.672</v>
      </c>
      <c r="F31" s="35">
        <f>$D31-$E31</f>
        <v>878.32799999999997</v>
      </c>
      <c r="G31" s="34">
        <f>$F31/$D31</f>
        <v>0.44359999999999999</v>
      </c>
      <c r="H31" s="35">
        <f>SUMIFS('01-RAW-DATA'!$E$4:$E$195,'01-RAW-DATA'!$B$4:$B$195,$C31,'01-RAW-DATA'!$D$4:$D$195,H$28)</f>
        <v>4268</v>
      </c>
      <c r="I31" s="35">
        <f>SUMIFS('01-RAW-DATA'!$F$4:$F$195,'01-RAW-DATA'!$B$4:$B$195,$C31,'01-RAW-DATA'!$D$4:$D$195,I$28)</f>
        <v>2577.4452000000006</v>
      </c>
      <c r="J31" s="35">
        <f>$H31-$I31</f>
        <v>1690.5547999999994</v>
      </c>
      <c r="K31" s="34">
        <f>$J31/$H31</f>
        <v>0.39609999999999984</v>
      </c>
      <c r="N31" s="58" t="s">
        <v>72</v>
      </c>
      <c r="O31" s="43"/>
      <c r="P31" s="43"/>
      <c r="Q31" s="43"/>
      <c r="R31" s="43"/>
      <c r="S31" s="43"/>
    </row>
    <row r="32" spans="2:19" x14ac:dyDescent="0.25">
      <c r="C32" s="26">
        <v>42064</v>
      </c>
      <c r="D32" s="35">
        <f>SUMIFS('01-RAW-DATA'!$E$4:$E$195,'01-RAW-DATA'!$B$4:$B$195,$C32,'01-RAW-DATA'!$D$4:$D$195,D$28)</f>
        <v>2802.8</v>
      </c>
      <c r="E32" s="35">
        <f>SUMIFS('01-RAW-DATA'!$F$4:$F$195,'01-RAW-DATA'!$B$4:$B$195,$C32,'01-RAW-DATA'!$D$4:$D$195,E$28)</f>
        <v>1621.8570368000003</v>
      </c>
      <c r="F32" s="35">
        <f>$D32-$E32</f>
        <v>1180.9429631999999</v>
      </c>
      <c r="G32" s="34">
        <f>$F32/$D32</f>
        <v>0.42134399999999994</v>
      </c>
      <c r="H32" s="35">
        <f>SUMIFS('01-RAW-DATA'!$E$4:$E$195,'01-RAW-DATA'!$B$4:$B$195,$C32,'01-RAW-DATA'!$D$4:$D$195,H$28)</f>
        <v>5045.04</v>
      </c>
      <c r="I32" s="35">
        <f>SUMIFS('01-RAW-DATA'!$F$4:$F$195,'01-RAW-DATA'!$B$4:$B$195,$C32,'01-RAW-DATA'!$D$4:$D$195,I$28)</f>
        <v>2955.2986663200004</v>
      </c>
      <c r="J32" s="35">
        <f>$H32-$I32</f>
        <v>2089.7413336799996</v>
      </c>
      <c r="K32" s="34">
        <f>$J32/$H32</f>
        <v>0.41421699999999989</v>
      </c>
      <c r="N32" s="58" t="s">
        <v>73</v>
      </c>
      <c r="O32" s="43"/>
      <c r="P32" s="43"/>
      <c r="Q32" s="43"/>
      <c r="R32" s="43"/>
      <c r="S32" s="43"/>
    </row>
    <row r="33" spans="3:19" x14ac:dyDescent="0.25">
      <c r="C33" s="26">
        <v>42095</v>
      </c>
      <c r="D33" s="35">
        <f>SUMIFS('01-RAW-DATA'!$E$4:$E$195,'01-RAW-DATA'!$B$4:$B$195,$C33,'01-RAW-DATA'!$D$4:$D$195,D$28)</f>
        <v>3136.98</v>
      </c>
      <c r="E33" s="35">
        <f>SUMIFS('01-RAW-DATA'!$F$4:$F$195,'01-RAW-DATA'!$B$4:$B$195,$C33,'01-RAW-DATA'!$D$4:$D$195,E$28)</f>
        <v>1851.5369448576002</v>
      </c>
      <c r="F33" s="35">
        <f>$D33-$E33</f>
        <v>1285.4430551423998</v>
      </c>
      <c r="G33" s="34">
        <f>$F33/$D33</f>
        <v>0.40977087999999995</v>
      </c>
      <c r="H33" s="35">
        <f>SUMIFS('01-RAW-DATA'!$E$4:$E$195,'01-RAW-DATA'!$B$4:$B$195,$C33,'01-RAW-DATA'!$D$4:$D$195,H$28)</f>
        <v>5730.2168000000011</v>
      </c>
      <c r="I33" s="35">
        <f>SUMIFS('01-RAW-DATA'!$F$4:$F$195,'01-RAW-DATA'!$B$4:$B$195,$C33,'01-RAW-DATA'!$D$4:$D$195,I$28)</f>
        <v>3255.9636801217689</v>
      </c>
      <c r="J33" s="35">
        <f>$H33-$I33</f>
        <v>2474.2531198782322</v>
      </c>
      <c r="K33" s="34">
        <f>$J33/$H33</f>
        <v>0.43179048999999997</v>
      </c>
      <c r="N33" s="58" t="s">
        <v>74</v>
      </c>
      <c r="O33" s="43"/>
      <c r="P33" s="43"/>
      <c r="Q33" s="43"/>
      <c r="R33" s="43"/>
      <c r="S33" s="43"/>
    </row>
    <row r="34" spans="3:19" x14ac:dyDescent="0.25">
      <c r="C34" s="26">
        <v>42125</v>
      </c>
      <c r="D34" s="35">
        <f>SUMIFS('01-RAW-DATA'!$E$4:$E$195,'01-RAW-DATA'!$B$4:$B$195,$C34,'01-RAW-DATA'!$D$4:$D$195,D$28)</f>
        <v>1712.7910799999997</v>
      </c>
      <c r="E34" s="35">
        <f>SUMIFS('01-RAW-DATA'!$F$4:$F$195,'01-RAW-DATA'!$B$4:$B$195,$C34,'01-RAW-DATA'!$D$4:$D$195,E$28)</f>
        <v>1031.1579553300946</v>
      </c>
      <c r="F34" s="35">
        <f>$D34-$E34</f>
        <v>681.6331246699051</v>
      </c>
      <c r="G34" s="34">
        <f>$F34/$D34</f>
        <v>0.39796629759999991</v>
      </c>
      <c r="H34" s="35">
        <f>SUMIFS('01-RAW-DATA'!$E$4:$E$195,'01-RAW-DATA'!$B$4:$B$195,$C34,'01-RAW-DATA'!$D$4:$D$195,H$28)</f>
        <v>5290.6213360000002</v>
      </c>
      <c r="I34" s="35">
        <f>SUMIFS('01-RAW-DATA'!$F$4:$F$195,'01-RAW-DATA'!$B$4:$B$195,$C34,'01-RAW-DATA'!$D$4:$D$195,I$28)</f>
        <v>2946.0577297856239</v>
      </c>
      <c r="J34" s="35">
        <f>$H34-$I34</f>
        <v>2344.5636062143763</v>
      </c>
      <c r="K34" s="34">
        <f>$J34/$H34</f>
        <v>0.44315468019999987</v>
      </c>
      <c r="N34" s="58" t="s">
        <v>75</v>
      </c>
      <c r="O34" s="43"/>
      <c r="P34" s="43"/>
      <c r="Q34" s="43"/>
      <c r="R34" s="43"/>
      <c r="S34" s="43"/>
    </row>
    <row r="35" spans="3:19" x14ac:dyDescent="0.25">
      <c r="C35" s="26">
        <v>42156</v>
      </c>
      <c r="D35" s="35">
        <f>SUMIFS('01-RAW-DATA'!$E$4:$E$195,'01-RAW-DATA'!$B$4:$B$195,$C35,'01-RAW-DATA'!$D$4:$D$195,D$28)</f>
        <v>3461.7410828000006</v>
      </c>
      <c r="E35" s="35">
        <f>SUMIFS('01-RAW-DATA'!$F$4:$F$195,'01-RAW-DATA'!$B$4:$B$195,$C35,'01-RAW-DATA'!$D$4:$D$195,E$28)</f>
        <v>2042.4031048117042</v>
      </c>
      <c r="F35" s="35">
        <f>$D35-$E35</f>
        <v>1419.3379779882964</v>
      </c>
      <c r="G35" s="34">
        <f>$F35/$D35</f>
        <v>0.41000697164799993</v>
      </c>
      <c r="H35" s="35">
        <f>SUMIFS('01-RAW-DATA'!$E$4:$E$195,'01-RAW-DATA'!$B$4:$B$195,$C35,'01-RAW-DATA'!$D$4:$D$195,H$28)</f>
        <v>6475.49214312</v>
      </c>
      <c r="I35" s="35">
        <f>SUMIFS('01-RAW-DATA'!$F$4:$F$195,'01-RAW-DATA'!$B$4:$B$195,$C35,'01-RAW-DATA'!$D$4:$D$195,I$28)</f>
        <v>3750.081393029966</v>
      </c>
      <c r="J35" s="35">
        <f>$H35-$I35</f>
        <v>2725.4107500900341</v>
      </c>
      <c r="K35" s="34">
        <f>$J35/$H35</f>
        <v>0.42088086740799996</v>
      </c>
    </row>
    <row r="36" spans="3:19" x14ac:dyDescent="0.25">
      <c r="C36" s="26">
        <v>42186</v>
      </c>
      <c r="D36" s="35">
        <f>SUMIFS('01-RAW-DATA'!$E$4:$E$195,'01-RAW-DATA'!$B$4:$B$195,$C36,'01-RAW-DATA'!$D$4:$D$195,D$28)</f>
        <v>4361.7937643280002</v>
      </c>
      <c r="E36" s="35">
        <f>SUMIFS('01-RAW-DATA'!$F$4:$F$195,'01-RAW-DATA'!$B$4:$B$195,$C36,'01-RAW-DATA'!$D$4:$D$195,E$28)</f>
        <v>2676.3650285452568</v>
      </c>
      <c r="F36" s="35">
        <f>$D36-$E36</f>
        <v>1685.4287357827434</v>
      </c>
      <c r="G36" s="34">
        <f>$F36/$D36</f>
        <v>0.38640725051391994</v>
      </c>
      <c r="H36" s="35">
        <f>SUMIFS('01-RAW-DATA'!$E$4:$E$195,'01-RAW-DATA'!$B$4:$B$195,$C36,'01-RAW-DATA'!$D$4:$D$195,H$28)</f>
        <v>5774.1841261104009</v>
      </c>
      <c r="I36" s="35">
        <f>SUMIFS('01-RAW-DATA'!$F$4:$F$195,'01-RAW-DATA'!$B$4:$B$195,$C36,'01-RAW-DATA'!$D$4:$D$195,I$28)</f>
        <v>3377.3799075649467</v>
      </c>
      <c r="J36" s="35">
        <f>$H36-$I36</f>
        <v>2396.8042185454542</v>
      </c>
      <c r="K36" s="34">
        <f>$J36/$H36</f>
        <v>0.41508967608207997</v>
      </c>
    </row>
    <row r="37" spans="3:19" x14ac:dyDescent="0.25">
      <c r="C37" s="26">
        <v>42217</v>
      </c>
      <c r="D37" s="35">
        <f>SUMIFS('01-RAW-DATA'!$E$4:$E$195,'01-RAW-DATA'!$B$4:$B$195,$C37,'01-RAW-DATA'!$D$4:$D$195,D$28)</f>
        <v>5400.3160891680009</v>
      </c>
      <c r="E37" s="35">
        <f>SUMIFS('01-RAW-DATA'!$F$4:$F$195,'01-RAW-DATA'!$B$4:$B$195,$C37,'01-RAW-DATA'!$D$4:$D$195,E$28)</f>
        <v>3446.1385891363693</v>
      </c>
      <c r="F37" s="35">
        <f>$D37-$E37</f>
        <v>1954.1775000316316</v>
      </c>
      <c r="G37" s="34">
        <f>$F37/$D37</f>
        <v>0.36186354053447667</v>
      </c>
      <c r="H37" s="35">
        <f>SUMIFS('01-RAW-DATA'!$E$4:$E$195,'01-RAW-DATA'!$B$4:$B$195,$C37,'01-RAW-DATA'!$D$4:$D$195,H$28)</f>
        <v>6869.2020654216976</v>
      </c>
      <c r="I37" s="35">
        <f>SUMIFS('01-RAW-DATA'!$F$4:$F$195,'01-RAW-DATA'!$B$4:$B$195,$C37,'01-RAW-DATA'!$D$4:$D$195,I$28)</f>
        <v>4098.2245492463198</v>
      </c>
      <c r="J37" s="35">
        <f>$H37-$I37</f>
        <v>2770.9775161753778</v>
      </c>
      <c r="K37" s="34">
        <f>$J37/$H37</f>
        <v>0.40339146960372152</v>
      </c>
    </row>
    <row r="38" spans="3:19" x14ac:dyDescent="0.25">
      <c r="C38" s="26">
        <v>42248</v>
      </c>
      <c r="D38" s="35">
        <f>SUMIFS('01-RAW-DATA'!$E$4:$E$195,'01-RAW-DATA'!$B$4:$B$195,$C38,'01-RAW-DATA'!$D$4:$D$195,D$28)</f>
        <v>4555.7066528221258</v>
      </c>
      <c r="E38" s="35">
        <f>SUMIFS('01-RAW-DATA'!$F$4:$F$195,'01-RAW-DATA'!$B$4:$B$195,$C38,'01-RAW-DATA'!$D$4:$D$195,E$28)</f>
        <v>2819.9476383815781</v>
      </c>
      <c r="F38" s="35">
        <f>$D38-$E38</f>
        <v>1735.7590144405476</v>
      </c>
      <c r="G38" s="34">
        <f>$F38/$D38</f>
        <v>0.38100763431844237</v>
      </c>
      <c r="H38" s="35">
        <f>SUMIFS('01-RAW-DATA'!$E$4:$E$195,'01-RAW-DATA'!$B$4:$B$195,$C38,'01-RAW-DATA'!$D$4:$D$195,H$28)</f>
        <v>4747.525880309373</v>
      </c>
      <c r="I38" s="35">
        <f>SUMIFS('01-RAW-DATA'!$F$4:$F$195,'01-RAW-DATA'!$B$4:$B$195,$C38,'01-RAW-DATA'!$D$4:$D$195,I$28)</f>
        <v>2775.7661497002796</v>
      </c>
      <c r="J38" s="35">
        <f>$H38-$I38</f>
        <v>1971.7597306090934</v>
      </c>
      <c r="K38" s="34">
        <f>$J38/$H38</f>
        <v>0.41532364021164714</v>
      </c>
    </row>
    <row r="39" spans="3:19" x14ac:dyDescent="0.25">
      <c r="C39" s="26">
        <v>42278</v>
      </c>
      <c r="D39" s="35">
        <f>SUMIFS('01-RAW-DATA'!$E$4:$E$195,'01-RAW-DATA'!$B$4:$B$195,$C39,'01-RAW-DATA'!$D$4:$D$195,D$28)</f>
        <v>4510.1495862939037</v>
      </c>
      <c r="E39" s="35">
        <f>SUMIFS('01-RAW-DATA'!$F$4:$F$195,'01-RAW-DATA'!$B$4:$B$195,$C39,'01-RAW-DATA'!$D$4:$D$195,E$28)</f>
        <v>2509.4472298139281</v>
      </c>
      <c r="F39" s="35">
        <f>$D39-$E39</f>
        <v>2000.7023564799756</v>
      </c>
      <c r="G39" s="34">
        <f>$F39/$D39</f>
        <v>0.44359999999999999</v>
      </c>
      <c r="H39" s="35">
        <f>SUMIFS('01-RAW-DATA'!$E$4:$E$195,'01-RAW-DATA'!$B$4:$B$195,$C39,'01-RAW-DATA'!$D$4:$D$195,H$28)</f>
        <v>5174.8032095372164</v>
      </c>
      <c r="I39" s="35">
        <f>SUMIFS('01-RAW-DATA'!$F$4:$F$195,'01-RAW-DATA'!$B$4:$B$195,$C39,'01-RAW-DATA'!$D$4:$D$195,I$28)</f>
        <v>3125.0636582395255</v>
      </c>
      <c r="J39" s="35">
        <f>$H39-$I39</f>
        <v>2049.7395512976909</v>
      </c>
      <c r="K39" s="34">
        <f>$J39/$H39</f>
        <v>0.3960999999999999</v>
      </c>
    </row>
    <row r="40" spans="3:19" x14ac:dyDescent="0.25">
      <c r="C40" s="26">
        <v>42309</v>
      </c>
      <c r="D40" s="35">
        <f>SUMIFS('01-RAW-DATA'!$E$4:$E$195,'01-RAW-DATA'!$B$4:$B$195,$C40,'01-RAW-DATA'!$D$4:$D$195,D$28)</f>
        <v>5241.2685718615476</v>
      </c>
      <c r="E40" s="35">
        <f>SUMIFS('01-RAW-DATA'!$F$4:$F$195,'01-RAW-DATA'!$B$4:$B$195,$C40,'01-RAW-DATA'!$D$4:$D$195,E$28)</f>
        <v>3155.4203235905684</v>
      </c>
      <c r="F40" s="35">
        <f>$D40-$E40</f>
        <v>2085.8482482709792</v>
      </c>
      <c r="G40" s="34">
        <f>$F40/$D40</f>
        <v>0.39796629759999991</v>
      </c>
      <c r="H40" s="35">
        <f>SUMIFS('01-RAW-DATA'!$E$4:$E$195,'01-RAW-DATA'!$B$4:$B$195,$C40,'01-RAW-DATA'!$D$4:$D$195,H$28)</f>
        <v>6335.0985346848274</v>
      </c>
      <c r="I40" s="35">
        <f>SUMIFS('01-RAW-DATA'!$F$4:$F$195,'01-RAW-DATA'!$B$4:$B$195,$C40,'01-RAW-DATA'!$D$4:$D$195,I$28)</f>
        <v>3527.6699695110847</v>
      </c>
      <c r="J40" s="35">
        <f>$H40-$I40</f>
        <v>2807.4285651737428</v>
      </c>
      <c r="K40" s="34">
        <f>$J40/$H40</f>
        <v>0.44315468019999993</v>
      </c>
    </row>
    <row r="41" spans="3:19" x14ac:dyDescent="0.25">
      <c r="C41" s="26">
        <v>42339</v>
      </c>
      <c r="D41" s="35">
        <f>SUMIFS('01-RAW-DATA'!$E$4:$E$195,'01-RAW-DATA'!$B$4:$B$195,$C41,'01-RAW-DATA'!$D$4:$D$195,D$28)</f>
        <v>4762.7179631263634</v>
      </c>
      <c r="E41" s="35">
        <f>SUMIFS('01-RAW-DATA'!$F$4:$F$195,'01-RAW-DATA'!$B$4:$B$195,$C41,'01-RAW-DATA'!$D$4:$D$195,E$28)</f>
        <v>3160.8345375591989</v>
      </c>
      <c r="F41" s="35">
        <f>$D41-$E41</f>
        <v>1601.8834255671645</v>
      </c>
      <c r="G41" s="34">
        <f>$F41/$D41</f>
        <v>0.3363380821558557</v>
      </c>
      <c r="H41" s="35">
        <f>SUMIFS('01-RAW-DATA'!$E$4:$E$195,'01-RAW-DATA'!$B$4:$B$195,$C41,'01-RAW-DATA'!$D$4:$D$195,H$28)</f>
        <v>5965.9309222319716</v>
      </c>
      <c r="I41" s="35">
        <f>SUMIFS('01-RAW-DATA'!$F$4:$F$195,'01-RAW-DATA'!$B$4:$B$195,$C41,'01-RAW-DATA'!$D$4:$D$195,I$28)</f>
        <v>3630.5117855577018</v>
      </c>
      <c r="J41" s="35">
        <f>$H41-$I41</f>
        <v>2335.4191366742698</v>
      </c>
      <c r="K41" s="34">
        <f>$J41/$H41</f>
        <v>0.3914592989957959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01-RAW-DATA</vt:lpstr>
      <vt:lpstr>02-ANNUAL-FINANCIAL-PERFORMANCE</vt:lpstr>
      <vt:lpstr>03_Monthly_Performance_Analysis</vt:lpstr>
      <vt:lpstr>04_Revenue_Mix_Analysis</vt:lpstr>
      <vt:lpstr>05_Client_Profitability_Analysi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funmilola showumi</dc:creator>
  <cp:lastModifiedBy>funmilola showumi</cp:lastModifiedBy>
  <dcterms:created xsi:type="dcterms:W3CDTF">2026-06-05T19:58:01Z</dcterms:created>
  <dcterms:modified xsi:type="dcterms:W3CDTF">2026-06-05T21:05:48Z</dcterms:modified>
</cp:coreProperties>
</file>